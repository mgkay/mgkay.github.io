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engyu Zhou\Desktop\"/>
    </mc:Choice>
  </mc:AlternateContent>
  <xr:revisionPtr revIDLastSave="0" documentId="13_ncr:1_{7C077D15-E831-46E5-97CD-44D005D5E7A3}" xr6:coauthVersionLast="44" xr6:coauthVersionMax="45" xr10:uidLastSave="{00000000-0000-0000-0000-000000000000}"/>
  <bookViews>
    <workbookView xWindow="-110" yWindow="-110" windowWidth="19420" windowHeight="9800" xr2:uid="{00000000-000D-0000-FFFF-FFFF00000000}"/>
  </bookViews>
  <sheets>
    <sheet name="Problem1" sheetId="15" r:id="rId1"/>
    <sheet name="Problem 2" sheetId="13" r:id="rId2"/>
    <sheet name="Problem 3" sheetId="11" r:id="rId3"/>
    <sheet name="Problem 4" sheetId="12" r:id="rId4"/>
  </sheets>
  <functionGroups builtInGroupCount="19"/>
  <definedNames>
    <definedName name="D_Matrix">#REF!</definedName>
    <definedName name="Dijk_Paths" localSheetId="2">'Problem 3'!$G$23:$I$35</definedName>
    <definedName name="Dijk_Paths">#REF!</definedName>
    <definedName name="Dist_Loc" localSheetId="2">'Problem 3'!#REF!</definedName>
    <definedName name="Dist_Loc">#REF!</definedName>
    <definedName name="Distance">#REF!</definedName>
    <definedName name="Distance_Matrix" localSheetId="2">'Problem 3'!$J$23:$W$32</definedName>
    <definedName name="Distance_Matrix">#REF!</definedName>
    <definedName name="F">#REF!</definedName>
    <definedName name="Frequency">#REF!</definedName>
    <definedName name="H">#REF!</definedName>
    <definedName name="Handling_Cost">#REF!</definedName>
    <definedName name="Locations">#REF!</definedName>
    <definedName name="Part_Cost" localSheetId="2">'Problem 3'!$B$18:$G$18</definedName>
    <definedName name="Part_Cost">#REF!</definedName>
    <definedName name="Part_Freq" localSheetId="2">'Problem 3'!$B$16:$K$16</definedName>
    <definedName name="Part_Freq">#REF!</definedName>
    <definedName name="Part_Routes" localSheetId="2">'Problem 3'!$B$4:$I$11</definedName>
    <definedName name="Part_Routes">#REF!</definedName>
    <definedName name="Paths">#REF!</definedName>
    <definedName name="Route_Input">#REF!</definedName>
    <definedName name="Routes">#REF!</definedName>
    <definedName name="W_Matrix">#REF!</definedName>
    <definedName name="Weight">#REF!</definedName>
    <definedName name="Weight_Matrix" localSheetId="2">'Problem 3'!$N$4:$W$13</definedName>
    <definedName name="Weight_Matrix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1" i="15" l="1" a="1"/>
  <c r="K5" i="15" a="1"/>
  <c r="L4" i="11" a="1"/>
  <c r="J23" i="11" a="1"/>
  <c r="G3" i="12" a="1"/>
  <c r="J3" i="12" l="1"/>
  <c r="J7" i="12"/>
  <c r="J11" i="12"/>
  <c r="J15" i="12"/>
  <c r="G3" i="12"/>
  <c r="G7" i="12"/>
  <c r="S8" i="12"/>
  <c r="H14" i="12"/>
  <c r="T3" i="12"/>
  <c r="O10" i="12"/>
  <c r="T15" i="12"/>
  <c r="L9" i="12"/>
  <c r="M4" i="12"/>
  <c r="U16" i="12"/>
  <c r="U3" i="12"/>
  <c r="G13" i="12"/>
  <c r="N3" i="12"/>
  <c r="N7" i="12"/>
  <c r="N11" i="12"/>
  <c r="N15" i="12"/>
  <c r="K3" i="12"/>
  <c r="K7" i="12"/>
  <c r="H9" i="12"/>
  <c r="M14" i="12"/>
  <c r="L4" i="12"/>
  <c r="T10" i="12"/>
  <c r="I16" i="12"/>
  <c r="G10" i="12"/>
  <c r="M5" i="12"/>
  <c r="P17" i="12"/>
  <c r="U6" i="12"/>
  <c r="L14" i="12"/>
  <c r="R3" i="12"/>
  <c r="R7" i="12"/>
  <c r="R11" i="12"/>
  <c r="R15" i="12"/>
  <c r="O3" i="12"/>
  <c r="O7" i="12"/>
  <c r="M9" i="12"/>
  <c r="S14" i="12"/>
  <c r="T4" i="12"/>
  <c r="I11" i="12"/>
  <c r="O16" i="12"/>
  <c r="Q10" i="12"/>
  <c r="M6" i="12"/>
  <c r="K18" i="12"/>
  <c r="P8" i="12"/>
  <c r="Q15" i="12"/>
  <c r="V3" i="12"/>
  <c r="S3" i="12"/>
  <c r="L5" i="12"/>
  <c r="M7" i="12"/>
  <c r="V6" i="12"/>
  <c r="I10" i="12"/>
  <c r="V4" i="12"/>
  <c r="S4" i="12"/>
  <c r="L7" i="12"/>
  <c r="K10" i="12"/>
  <c r="V5" i="12"/>
  <c r="S5" i="12"/>
  <c r="T8" i="12"/>
  <c r="P13" i="12"/>
  <c r="V10" i="12"/>
  <c r="O15" i="12"/>
  <c r="J4" i="12"/>
  <c r="J8" i="12"/>
  <c r="J12" i="12"/>
  <c r="J16" i="12"/>
  <c r="G4" i="12"/>
  <c r="I3" i="12"/>
  <c r="H10" i="12"/>
  <c r="M15" i="12"/>
  <c r="T5" i="12"/>
  <c r="T11" i="12"/>
  <c r="I17" i="12"/>
  <c r="G12" i="12"/>
  <c r="K8" i="12"/>
  <c r="P3" i="12"/>
  <c r="K11" i="12"/>
  <c r="L18" i="12"/>
  <c r="N4" i="12"/>
  <c r="N8" i="12"/>
  <c r="N12" i="12"/>
  <c r="N16" i="12"/>
  <c r="K4" i="12"/>
  <c r="Q3" i="12"/>
  <c r="M10" i="12"/>
  <c r="S15" i="12"/>
  <c r="L6" i="12"/>
  <c r="I12" i="12"/>
  <c r="O17" i="12"/>
  <c r="Q12" i="12"/>
  <c r="U8" i="12"/>
  <c r="P5" i="12"/>
  <c r="P12" i="12"/>
  <c r="U4" i="12"/>
  <c r="R4" i="12"/>
  <c r="R8" i="12"/>
  <c r="R12" i="12"/>
  <c r="R16" i="12"/>
  <c r="O4" i="12"/>
  <c r="I4" i="12"/>
  <c r="S10" i="12"/>
  <c r="H16" i="12"/>
  <c r="T6" i="12"/>
  <c r="O12" i="12"/>
  <c r="T17" i="12"/>
  <c r="L13" i="12"/>
  <c r="P9" i="12"/>
  <c r="P6" i="12"/>
  <c r="U13" i="12"/>
  <c r="U5" i="12"/>
  <c r="V7" i="12"/>
  <c r="S7" i="12"/>
  <c r="O11" i="12"/>
  <c r="T18" i="12"/>
  <c r="V14" i="12"/>
  <c r="Q8" i="12"/>
  <c r="V8" i="12"/>
  <c r="Q4" i="12"/>
  <c r="T12" i="12"/>
  <c r="L8" i="12"/>
  <c r="V9" i="12"/>
  <c r="Q6" i="12"/>
  <c r="I14" i="12"/>
  <c r="Q13" i="12"/>
  <c r="V18" i="12"/>
  <c r="J5" i="12"/>
  <c r="J9" i="12"/>
  <c r="J13" i="12"/>
  <c r="J17" i="12"/>
  <c r="G5" i="12"/>
  <c r="I5" i="12"/>
  <c r="M11" i="12"/>
  <c r="S16" i="12"/>
  <c r="T7" i="12"/>
  <c r="I13" i="12"/>
  <c r="O18" i="12"/>
  <c r="Q14" i="12"/>
  <c r="P11" i="12"/>
  <c r="Q9" i="12"/>
  <c r="P16" i="12"/>
  <c r="K9" i="12"/>
  <c r="N5" i="12"/>
  <c r="N9" i="12"/>
  <c r="N13" i="12"/>
  <c r="N17" i="12"/>
  <c r="K5" i="12"/>
  <c r="Q5" i="12"/>
  <c r="S11" i="12"/>
  <c r="H17" i="12"/>
  <c r="I8" i="12"/>
  <c r="O13" i="12"/>
  <c r="H3" i="12"/>
  <c r="L15" i="12"/>
  <c r="K12" i="12"/>
  <c r="G11" i="12"/>
  <c r="U17" i="12"/>
  <c r="P10" i="12"/>
  <c r="R5" i="12"/>
  <c r="R9" i="12"/>
  <c r="R13" i="12"/>
  <c r="R17" i="12"/>
  <c r="O5" i="12"/>
  <c r="I6" i="12"/>
  <c r="H12" i="12"/>
  <c r="M17" i="12"/>
  <c r="O8" i="12"/>
  <c r="T13" i="12"/>
  <c r="H4" i="12"/>
  <c r="G16" i="12"/>
  <c r="U12" i="12"/>
  <c r="L12" i="12"/>
  <c r="U10" i="12"/>
  <c r="U11" i="12"/>
  <c r="V11" i="12"/>
  <c r="S9" i="12"/>
  <c r="T16" i="12"/>
  <c r="U9" i="12"/>
  <c r="S6" i="12"/>
  <c r="U18" i="12"/>
  <c r="V12" i="12"/>
  <c r="H11" i="12"/>
  <c r="I18" i="12"/>
  <c r="K15" i="12"/>
  <c r="V13" i="12"/>
  <c r="M12" i="12"/>
  <c r="H5" i="12"/>
  <c r="P4" i="12"/>
  <c r="M8" i="12"/>
  <c r="K16" i="12"/>
  <c r="J6" i="12"/>
  <c r="G6" i="12"/>
  <c r="I9" i="12"/>
  <c r="K14" i="12"/>
  <c r="N6" i="12"/>
  <c r="K6" i="12"/>
  <c r="O9" i="12"/>
  <c r="U14" i="12"/>
  <c r="R6" i="12"/>
  <c r="O6" i="12"/>
  <c r="T9" i="12"/>
  <c r="P15" i="12"/>
  <c r="V15" i="12"/>
  <c r="S13" i="12"/>
  <c r="G14" i="12"/>
  <c r="Q16" i="12"/>
  <c r="Q11" i="12"/>
  <c r="V17" i="12"/>
  <c r="H18" i="12"/>
  <c r="N18" i="12"/>
  <c r="U15" i="12"/>
  <c r="Q18" i="12"/>
  <c r="M16" i="12"/>
  <c r="J10" i="12"/>
  <c r="I7" i="12"/>
  <c r="O14" i="12"/>
  <c r="G15" i="12"/>
  <c r="N10" i="12"/>
  <c r="Q7" i="12"/>
  <c r="T14" i="12"/>
  <c r="L16" i="12"/>
  <c r="R10" i="12"/>
  <c r="H8" i="12"/>
  <c r="I15" i="12"/>
  <c r="Q17" i="12"/>
  <c r="H15" i="12"/>
  <c r="P18" i="12"/>
  <c r="U7" i="12"/>
  <c r="K13" i="12"/>
  <c r="L3" i="12"/>
  <c r="L17" i="12"/>
  <c r="G18" i="12"/>
  <c r="S18" i="12"/>
  <c r="G17" i="12"/>
  <c r="M3" i="12"/>
  <c r="J14" i="12"/>
  <c r="S12" i="12"/>
  <c r="H6" i="12"/>
  <c r="P7" i="12"/>
  <c r="N14" i="12"/>
  <c r="H13" i="12"/>
  <c r="H7" i="12"/>
  <c r="G9" i="12"/>
  <c r="R14" i="12"/>
  <c r="M13" i="12"/>
  <c r="G8" i="12"/>
  <c r="L10" i="12"/>
  <c r="L11" i="12"/>
  <c r="V16" i="12"/>
  <c r="J18" i="12"/>
  <c r="P14" i="12"/>
  <c r="M18" i="12"/>
  <c r="R18" i="12"/>
  <c r="K17" i="12"/>
  <c r="S17" i="12"/>
  <c r="J23" i="11"/>
  <c r="K23" i="11"/>
  <c r="L23" i="11"/>
  <c r="M24" i="11"/>
  <c r="N23" i="11"/>
  <c r="J27" i="11"/>
  <c r="K27" i="11"/>
  <c r="L27" i="11"/>
  <c r="Q28" i="11"/>
  <c r="N27" i="11"/>
  <c r="K29" i="11"/>
  <c r="M27" i="11"/>
  <c r="O25" i="11"/>
  <c r="P25" i="11"/>
  <c r="Q29" i="11"/>
  <c r="J26" i="11"/>
  <c r="K26" i="11"/>
  <c r="L26" i="11"/>
  <c r="Q24" i="11"/>
  <c r="O24" i="11"/>
  <c r="O30" i="11"/>
  <c r="P26" i="11"/>
  <c r="M25" i="11"/>
  <c r="J25" i="11"/>
  <c r="N25" i="11"/>
  <c r="P27" i="11"/>
  <c r="Q30" i="11"/>
  <c r="K28" i="11"/>
  <c r="L28" i="11"/>
  <c r="P24" i="11"/>
  <c r="Q27" i="11"/>
  <c r="N30" i="11"/>
  <c r="N29" i="11"/>
  <c r="M29" i="11"/>
  <c r="L30" i="11"/>
  <c r="N26" i="11"/>
  <c r="K25" i="11"/>
  <c r="P23" i="11"/>
  <c r="K24" i="11"/>
  <c r="N24" i="11"/>
  <c r="P28" i="11"/>
  <c r="L25" i="11"/>
  <c r="O27" i="11"/>
  <c r="J28" i="11"/>
  <c r="M23" i="11"/>
  <c r="N28" i="11"/>
  <c r="O29" i="11"/>
  <c r="J30" i="11"/>
  <c r="Q23" i="11"/>
  <c r="O28" i="11"/>
  <c r="Q25" i="11"/>
  <c r="M26" i="11"/>
  <c r="L24" i="11"/>
  <c r="O26" i="11"/>
  <c r="J29" i="11"/>
  <c r="L29" i="11"/>
  <c r="P29" i="11"/>
  <c r="K30" i="11"/>
  <c r="M30" i="11"/>
  <c r="P30" i="11"/>
  <c r="O23" i="11"/>
  <c r="J24" i="11"/>
  <c r="M28" i="11"/>
  <c r="Q26" i="11"/>
  <c r="S5" i="11"/>
  <c r="O8" i="11"/>
  <c r="O9" i="11"/>
  <c r="L9" i="11"/>
  <c r="M9" i="11"/>
  <c r="N4" i="11"/>
  <c r="P7" i="11"/>
  <c r="Q9" i="11"/>
  <c r="N5" i="11"/>
  <c r="P10" i="11"/>
  <c r="N10" i="11"/>
  <c r="R7" i="11"/>
  <c r="O10" i="11"/>
  <c r="L10" i="11"/>
  <c r="R9" i="11"/>
  <c r="Q4" i="11"/>
  <c r="S7" i="11"/>
  <c r="S4" i="11"/>
  <c r="O11" i="11"/>
  <c r="L11" i="11"/>
  <c r="M11" i="11"/>
  <c r="R4" i="11"/>
  <c r="P9" i="11"/>
  <c r="N11" i="11"/>
  <c r="N8" i="11"/>
  <c r="Q6" i="11"/>
  <c r="P5" i="11"/>
  <c r="R8" i="11"/>
  <c r="L4" i="11"/>
  <c r="M4" i="11"/>
  <c r="O7" i="11"/>
  <c r="Q8" i="11"/>
  <c r="O4" i="11"/>
  <c r="S6" i="11"/>
  <c r="L5" i="11"/>
  <c r="M5" i="11"/>
  <c r="N9" i="11"/>
  <c r="S9" i="11"/>
  <c r="P11" i="11"/>
  <c r="N6" i="11"/>
  <c r="S10" i="11"/>
  <c r="Q10" i="11"/>
  <c r="Q5" i="11"/>
  <c r="R6" i="11"/>
  <c r="L6" i="11"/>
  <c r="M6" i="11"/>
  <c r="P4" i="11"/>
  <c r="N7" i="11"/>
  <c r="O6" i="11"/>
  <c r="R5" i="11"/>
  <c r="P6" i="11"/>
  <c r="L8" i="11"/>
  <c r="M8" i="11"/>
  <c r="S8" i="11"/>
  <c r="S11" i="11"/>
  <c r="R10" i="11"/>
  <c r="M10" i="11"/>
  <c r="M7" i="11"/>
  <c r="R11" i="11"/>
  <c r="L7" i="11"/>
  <c r="Q7" i="11"/>
  <c r="Q11" i="11"/>
  <c r="P8" i="11"/>
  <c r="O5" i="11"/>
  <c r="K7" i="15"/>
  <c r="M5" i="15"/>
  <c r="M6" i="15"/>
  <c r="L5" i="15"/>
  <c r="M7" i="15"/>
  <c r="L6" i="15"/>
  <c r="K5" i="15"/>
  <c r="L7" i="15"/>
  <c r="K6" i="15"/>
  <c r="J22" i="15"/>
  <c r="K23" i="15"/>
  <c r="J21" i="15"/>
  <c r="K22" i="15"/>
  <c r="L23" i="15"/>
  <c r="K21" i="15"/>
  <c r="L22" i="15"/>
  <c r="L21" i="15"/>
  <c r="J23" i="15"/>
  <c r="B38" i="11" a="1"/>
  <c r="J41" i="11" l="1"/>
  <c r="B49" i="11"/>
  <c r="I43" i="11"/>
  <c r="J50" i="11"/>
  <c r="F49" i="11"/>
  <c r="J43" i="11"/>
  <c r="B51" i="11"/>
  <c r="G43" i="11"/>
  <c r="I44" i="11"/>
  <c r="H39" i="11"/>
  <c r="H48" i="11"/>
  <c r="I48" i="11"/>
  <c r="G40" i="11"/>
  <c r="H47" i="11"/>
  <c r="F42" i="11"/>
  <c r="G49" i="11"/>
  <c r="H50" i="11"/>
  <c r="G42" i="11"/>
  <c r="H49" i="11"/>
  <c r="I41" i="11"/>
  <c r="D51" i="11"/>
  <c r="J44" i="11"/>
  <c r="G41" i="11"/>
  <c r="H41" i="11"/>
  <c r="I45" i="11"/>
  <c r="G44" i="11"/>
  <c r="E39" i="11"/>
  <c r="F46" i="11"/>
  <c r="F44" i="11"/>
  <c r="F39" i="11"/>
  <c r="D42" i="11"/>
  <c r="B38" i="11"/>
  <c r="C38" i="11"/>
  <c r="J52" i="11"/>
  <c r="H43" i="11"/>
  <c r="F38" i="11"/>
  <c r="G45" i="11"/>
  <c r="H52" i="11"/>
  <c r="G38" i="11"/>
  <c r="H45" i="11"/>
  <c r="I52" i="11"/>
  <c r="H46" i="11"/>
  <c r="C50" i="11"/>
  <c r="B45" i="11"/>
  <c r="J48" i="11"/>
  <c r="C39" i="11"/>
  <c r="E42" i="11"/>
  <c r="J49" i="11"/>
  <c r="D44" i="11"/>
  <c r="E51" i="11"/>
  <c r="I50" i="11"/>
  <c r="E44" i="11"/>
  <c r="F51" i="11"/>
  <c r="B44" i="11"/>
  <c r="B43" i="11"/>
  <c r="G52" i="11"/>
  <c r="J46" i="11"/>
  <c r="B47" i="11"/>
  <c r="D39" i="11"/>
  <c r="E46" i="11"/>
  <c r="C41" i="11"/>
  <c r="D48" i="11"/>
  <c r="B48" i="11"/>
  <c r="D41" i="11"/>
  <c r="B52" i="11"/>
  <c r="C45" i="11"/>
  <c r="D45" i="11"/>
  <c r="E38" i="11"/>
  <c r="F45" i="11"/>
  <c r="D40" i="11"/>
  <c r="E47" i="11"/>
  <c r="D46" i="11"/>
  <c r="E40" i="11"/>
  <c r="F47" i="11"/>
  <c r="G39" i="11"/>
  <c r="D50" i="11"/>
  <c r="F40" i="11"/>
  <c r="I39" i="11"/>
  <c r="J39" i="11"/>
  <c r="E49" i="11"/>
  <c r="C44" i="11"/>
  <c r="J38" i="11"/>
  <c r="B46" i="11"/>
  <c r="C43" i="11"/>
  <c r="B39" i="11"/>
  <c r="B42" i="11"/>
  <c r="D49" i="11"/>
  <c r="E43" i="11"/>
  <c r="H40" i="11"/>
  <c r="C46" i="11"/>
  <c r="G47" i="11"/>
  <c r="D43" i="11"/>
  <c r="E52" i="11"/>
  <c r="C48" i="11"/>
  <c r="B50" i="11"/>
  <c r="G46" i="11"/>
  <c r="F50" i="11"/>
  <c r="C49" i="11"/>
  <c r="E41" i="11"/>
  <c r="F43" i="11"/>
  <c r="I47" i="11"/>
  <c r="J47" i="11"/>
  <c r="C51" i="11"/>
  <c r="G48" i="11"/>
  <c r="H42" i="11"/>
  <c r="H51" i="11"/>
  <c r="I51" i="11"/>
  <c r="J51" i="11"/>
  <c r="E45" i="11"/>
  <c r="C40" i="11"/>
  <c r="I49" i="11"/>
  <c r="E50" i="11"/>
  <c r="I38" i="11"/>
  <c r="C47" i="11"/>
  <c r="D38" i="11"/>
  <c r="E48" i="11"/>
  <c r="D52" i="11"/>
  <c r="B41" i="11"/>
  <c r="J42" i="11"/>
  <c r="G51" i="11"/>
  <c r="F41" i="11"/>
  <c r="G50" i="11"/>
  <c r="D47" i="11"/>
  <c r="C42" i="11"/>
  <c r="F48" i="11"/>
  <c r="J45" i="11"/>
  <c r="I40" i="11"/>
  <c r="B40" i="11"/>
  <c r="H38" i="11"/>
  <c r="F52" i="11"/>
  <c r="I42" i="11"/>
  <c r="H44" i="11"/>
  <c r="C52" i="11"/>
  <c r="I46" i="11"/>
  <c r="J40" i="11"/>
</calcChain>
</file>

<file path=xl/sharedStrings.xml><?xml version="1.0" encoding="utf-8"?>
<sst xmlns="http://schemas.openxmlformats.org/spreadsheetml/2006/main" count="109" uniqueCount="60">
  <si>
    <t>Create Distance Matrix</t>
  </si>
  <si>
    <t>Create Weight Matrix</t>
  </si>
  <si>
    <t>Cost:</t>
  </si>
  <si>
    <t>Weight Matrix</t>
  </si>
  <si>
    <t>Distance Matrix</t>
  </si>
  <si>
    <t>Paths:</t>
  </si>
  <si>
    <t>=w(Routes,Flow,Handling_Cost)</t>
  </si>
  <si>
    <t>=dist(Locations,[1 or 2])</t>
  </si>
  <si>
    <t>=dijk(Paths)</t>
  </si>
  <si>
    <t xml:space="preserve">Item : </t>
  </si>
  <si>
    <t xml:space="preserve">Flow : </t>
  </si>
  <si>
    <t>Routing :    1</t>
  </si>
  <si>
    <t xml:space="preserve">Handling Cost : </t>
  </si>
  <si>
    <r>
      <t>Dist (</t>
    </r>
    <r>
      <rPr>
        <i/>
        <sz val="10"/>
        <rFont val="Arial"/>
        <family val="2"/>
      </rPr>
      <t>d</t>
    </r>
    <r>
      <rPr>
        <i/>
        <vertAlign val="subscript"/>
        <sz val="10"/>
        <rFont val="Arial"/>
        <family val="2"/>
      </rPr>
      <t>ij</t>
    </r>
    <r>
      <rPr>
        <sz val="10"/>
        <rFont val="Arial"/>
        <family val="2"/>
      </rPr>
      <t>)</t>
    </r>
  </si>
  <si>
    <r>
      <t>End (</t>
    </r>
    <r>
      <rPr>
        <i/>
        <sz val="10"/>
        <rFont val="Arial"/>
        <family val="2"/>
      </rPr>
      <t>j</t>
    </r>
    <r>
      <rPr>
        <sz val="10"/>
        <rFont val="Arial"/>
        <family val="2"/>
      </rPr>
      <t>)</t>
    </r>
  </si>
  <si>
    <r>
      <t>Start (</t>
    </r>
    <r>
      <rPr>
        <i/>
        <sz val="10"/>
        <rFont val="Arial"/>
        <family val="2"/>
      </rPr>
      <t>i</t>
    </r>
    <r>
      <rPr>
        <sz val="10"/>
        <rFont val="Arial"/>
        <family val="2"/>
      </rPr>
      <t>)</t>
    </r>
  </si>
  <si>
    <r>
      <t>(</t>
    </r>
    <r>
      <rPr>
        <i/>
        <sz val="10"/>
        <rFont val="Arial"/>
        <family val="2"/>
      </rPr>
      <t>i</t>
    </r>
    <r>
      <rPr>
        <sz val="10"/>
        <rFont val="Arial"/>
        <family val="2"/>
      </rPr>
      <t>)</t>
    </r>
  </si>
  <si>
    <r>
      <t xml:space="preserve"> (</t>
    </r>
    <r>
      <rPr>
        <i/>
        <sz val="10"/>
        <rFont val="Arial"/>
        <family val="2"/>
      </rPr>
      <t>j</t>
    </r>
    <r>
      <rPr>
        <sz val="10"/>
        <rFont val="Arial"/>
        <family val="2"/>
      </rPr>
      <t>)</t>
    </r>
  </si>
  <si>
    <r>
      <t xml:space="preserve"> (</t>
    </r>
    <r>
      <rPr>
        <i/>
        <sz val="10"/>
        <rFont val="Arial"/>
        <family val="2"/>
      </rPr>
      <t>d</t>
    </r>
    <r>
      <rPr>
        <i/>
        <vertAlign val="subscript"/>
        <sz val="10"/>
        <rFont val="Arial"/>
        <family val="2"/>
      </rPr>
      <t>ij</t>
    </r>
    <r>
      <rPr>
        <sz val="10"/>
        <rFont val="Arial"/>
        <family val="2"/>
      </rPr>
      <t>)</t>
    </r>
  </si>
  <si>
    <t xml:space="preserve">                    Best Layout:</t>
  </si>
  <si>
    <t xml:space="preserve">                    </t>
  </si>
  <si>
    <t>(a)</t>
  </si>
  <si>
    <t>a=a1</t>
  </si>
  <si>
    <t>TC</t>
  </si>
  <si>
    <t>a1</t>
  </si>
  <si>
    <t>a2</t>
  </si>
  <si>
    <t>a4</t>
  </si>
  <si>
    <t>a6</t>
  </si>
  <si>
    <t>a12</t>
  </si>
  <si>
    <t>a16</t>
  </si>
  <si>
    <t>a22</t>
  </si>
  <si>
    <t>a3</t>
  </si>
  <si>
    <t>a5</t>
  </si>
  <si>
    <t>a11</t>
  </si>
  <si>
    <t>a15</t>
  </si>
  <si>
    <t>a21</t>
  </si>
  <si>
    <t>(b)</t>
  </si>
  <si>
    <t>a=a17</t>
  </si>
  <si>
    <t>a17</t>
  </si>
  <si>
    <t>a14</t>
  </si>
  <si>
    <t>a8</t>
  </si>
  <si>
    <t>a20</t>
  </si>
  <si>
    <t>a18</t>
  </si>
  <si>
    <t>a13</t>
  </si>
  <si>
    <t>a7</t>
  </si>
  <si>
    <t>a19</t>
  </si>
  <si>
    <t>(c)</t>
  </si>
  <si>
    <t>a=a23</t>
  </si>
  <si>
    <t>a23</t>
  </si>
  <si>
    <t>a24</t>
  </si>
  <si>
    <t>a9</t>
  </si>
  <si>
    <t>Routes: Route #1</t>
  </si>
  <si>
    <t>Route #2</t>
  </si>
  <si>
    <t>Route #3</t>
  </si>
  <si>
    <t>A</t>
  </si>
  <si>
    <t>B</t>
  </si>
  <si>
    <t>C</t>
  </si>
  <si>
    <t>Frequency:</t>
  </si>
  <si>
    <t>Handling Cost: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</si>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</sst>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sz val="10"/>
      <color rgb="FF0070C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51FF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/>
  </cellStyleXfs>
  <cellXfs count="74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5" fillId="0" borderId="0" xfId="0" quotePrefix="1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5" borderId="1" xfId="0" applyFill="1" applyBorder="1"/>
    <xf numFmtId="0" fontId="0" fillId="0" borderId="0" xfId="0" applyBorder="1"/>
    <xf numFmtId="0" fontId="0" fillId="0" borderId="0" xfId="0" applyFill="1" applyBorder="1"/>
    <xf numFmtId="0" fontId="2" fillId="0" borderId="0" xfId="0" applyFont="1" applyFill="1" applyBorder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" fillId="0" borderId="0" xfId="0" applyFont="1" applyAlignment="1">
      <alignment horizontal="center"/>
    </xf>
    <xf numFmtId="0" fontId="0" fillId="6" borderId="0" xfId="0" applyFill="1" applyBorder="1"/>
    <xf numFmtId="0" fontId="1" fillId="6" borderId="0" xfId="0" applyFont="1" applyFill="1" applyBorder="1"/>
    <xf numFmtId="164" fontId="0" fillId="6" borderId="0" xfId="0" applyNumberFormat="1" applyFill="1" applyBorder="1"/>
    <xf numFmtId="0" fontId="0" fillId="7" borderId="1" xfId="0" applyFill="1" applyBorder="1"/>
    <xf numFmtId="0" fontId="0" fillId="8" borderId="1" xfId="0" applyFill="1" applyBorder="1"/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6" fillId="0" borderId="0" xfId="1" applyAlignment="1">
      <alignment horizontal="right"/>
    </xf>
    <xf numFmtId="0" fontId="6" fillId="0" borderId="0" xfId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6" fillId="0" borderId="1" xfId="1" applyBorder="1" applyAlignment="1">
      <alignment horizontal="right"/>
    </xf>
    <xf numFmtId="0" fontId="6" fillId="0" borderId="12" xfId="1" applyBorder="1" applyAlignment="1">
      <alignment horizontal="center" vertical="center"/>
    </xf>
    <xf numFmtId="0" fontId="6" fillId="0" borderId="2" xfId="1" applyBorder="1" applyAlignment="1">
      <alignment horizontal="center" vertical="center"/>
    </xf>
    <xf numFmtId="0" fontId="6" fillId="0" borderId="13" xfId="1" applyBorder="1" applyAlignment="1">
      <alignment horizontal="center" vertical="center"/>
    </xf>
    <xf numFmtId="0" fontId="8" fillId="0" borderId="14" xfId="1" applyFont="1" applyBorder="1" applyAlignment="1">
      <alignment horizontal="center" vertical="center"/>
    </xf>
    <xf numFmtId="0" fontId="6" fillId="0" borderId="14" xfId="1" applyBorder="1" applyAlignment="1">
      <alignment horizontal="center" vertical="center"/>
    </xf>
    <xf numFmtId="0" fontId="6" fillId="0" borderId="15" xfId="1" applyBorder="1" applyAlignment="1">
      <alignment horizontal="center" vertical="center"/>
    </xf>
    <xf numFmtId="0" fontId="6" fillId="0" borderId="16" xfId="1" applyBorder="1" applyAlignment="1">
      <alignment horizontal="center" vertical="center"/>
    </xf>
    <xf numFmtId="0" fontId="6" fillId="0" borderId="17" xfId="1" applyBorder="1" applyAlignment="1">
      <alignment horizontal="center" vertical="center"/>
    </xf>
    <xf numFmtId="0" fontId="6" fillId="0" borderId="19" xfId="1" applyBorder="1" applyAlignment="1">
      <alignment horizontal="center" vertical="center"/>
    </xf>
    <xf numFmtId="0" fontId="6" fillId="0" borderId="20" xfId="1" applyBorder="1" applyAlignment="1">
      <alignment horizontal="center" vertical="center"/>
    </xf>
    <xf numFmtId="0" fontId="6" fillId="0" borderId="21" xfId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6" fillId="0" borderId="1" xfId="1" applyBorder="1" applyAlignment="1">
      <alignment horizontal="center" vertical="center"/>
    </xf>
    <xf numFmtId="0" fontId="6" fillId="0" borderId="18" xfId="1" applyBorder="1" applyAlignment="1">
      <alignment horizontal="center" vertical="center"/>
    </xf>
    <xf numFmtId="0" fontId="6" fillId="9" borderId="1" xfId="1" applyFill="1" applyBorder="1" applyAlignment="1">
      <alignment horizontal="right" vertical="center"/>
    </xf>
    <xf numFmtId="0" fontId="6" fillId="9" borderId="18" xfId="1" applyFill="1" applyBorder="1" applyAlignment="1">
      <alignment horizontal="center" vertical="center"/>
    </xf>
    <xf numFmtId="0" fontId="6" fillId="9" borderId="12" xfId="1" applyFill="1" applyBorder="1" applyAlignment="1">
      <alignment horizontal="center" vertical="center"/>
    </xf>
    <xf numFmtId="0" fontId="9" fillId="9" borderId="2" xfId="1" applyFont="1" applyFill="1" applyBorder="1" applyAlignment="1">
      <alignment horizontal="center" vertical="center"/>
    </xf>
    <xf numFmtId="0" fontId="6" fillId="9" borderId="1" xfId="1" applyFill="1" applyBorder="1" applyAlignment="1">
      <alignment horizontal="center" vertical="center"/>
    </xf>
    <xf numFmtId="0" fontId="6" fillId="9" borderId="16" xfId="1" applyFill="1" applyBorder="1" applyAlignment="1">
      <alignment horizontal="center" vertical="center"/>
    </xf>
    <xf numFmtId="0" fontId="9" fillId="9" borderId="17" xfId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0" fillId="6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2" fillId="6" borderId="0" xfId="0" applyFont="1" applyFill="1"/>
    <xf numFmtId="0" fontId="0" fillId="6" borderId="0" xfId="0" applyFill="1"/>
    <xf numFmtId="0" fontId="2" fillId="11" borderId="0" xfId="0" applyFont="1" applyFill="1"/>
    <xf numFmtId="0" fontId="0" fillId="11" borderId="0" xfId="0" applyFill="1"/>
  </cellXfs>
  <cellStyles count="2">
    <cellStyle name="Normal" xfId="0" builtinId="0"/>
    <cellStyle name="Normal 2" xfId="1" xr:uid="{8FF4C769-11A1-4204-B0BC-671386C0242B}"/>
  </cellStyles>
  <dxfs count="0"/>
  <tableStyles count="0" defaultTableStyle="TableStyleMedium9" defaultPivotStyle="PivotStyleLight16"/>
  <colors>
    <mruColors>
      <color rgb="FF51FF42"/>
      <color rgb="FFCC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184730</xdr:colOff>
      <xdr:row>18</xdr:row>
      <xdr:rowOff>161634</xdr:rowOff>
    </xdr:from>
    <xdr:to>
      <xdr:col>20</xdr:col>
      <xdr:colOff>115456</xdr:colOff>
      <xdr:row>37</xdr:row>
      <xdr:rowOff>115828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5BA30E2-DBD9-4508-B094-FF3546590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4260087" y="2297732"/>
          <a:ext cx="3025285" cy="46412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338B6-8E7A-42A9-9C21-45D437179C31}">
  <dimension ref="B3:R28"/>
  <sheetViews>
    <sheetView tabSelected="1" workbookViewId="0">
      <selection activeCell="M12" sqref="M12"/>
    </sheetView>
  </sheetViews>
  <sheetFormatPr defaultRowHeight="12.5" x14ac:dyDescent="0.25"/>
  <sheetData>
    <row r="3" spans="3:18" ht="13" x14ac:dyDescent="0.3">
      <c r="C3" s="2" t="s">
        <v>1</v>
      </c>
    </row>
    <row r="4" spans="3:18" x14ac:dyDescent="0.25">
      <c r="N4" s="14"/>
      <c r="O4" s="70"/>
      <c r="P4" s="71"/>
      <c r="Q4" s="71"/>
      <c r="R4" s="71"/>
    </row>
    <row r="5" spans="3:18" x14ac:dyDescent="0.25">
      <c r="C5" s="1" t="s">
        <v>51</v>
      </c>
      <c r="D5" s="4">
        <v>1</v>
      </c>
      <c r="E5" s="4">
        <v>2</v>
      </c>
      <c r="F5" s="4">
        <v>3</v>
      </c>
      <c r="G5" s="4">
        <v>1</v>
      </c>
      <c r="H5" s="69">
        <v>3</v>
      </c>
      <c r="J5" s="72" t="s">
        <v>59</v>
      </c>
      <c r="K5" s="72">
        <f t="array" ref="K5:M7">w(D5:H7, D10:F10, D12:F12)</f>
        <v>0</v>
      </c>
      <c r="L5" s="73">
        <v>52</v>
      </c>
      <c r="M5" s="73">
        <v>76</v>
      </c>
      <c r="O5" s="71"/>
      <c r="P5" s="71"/>
      <c r="Q5" s="71"/>
      <c r="R5" s="71"/>
    </row>
    <row r="6" spans="3:18" x14ac:dyDescent="0.25">
      <c r="C6" s="1" t="s">
        <v>52</v>
      </c>
      <c r="D6" s="4">
        <v>2</v>
      </c>
      <c r="E6" s="4">
        <v>1</v>
      </c>
      <c r="F6" s="4">
        <v>3</v>
      </c>
      <c r="G6" s="4">
        <v>1</v>
      </c>
      <c r="H6" s="68"/>
      <c r="J6" s="73"/>
      <c r="K6" s="73">
        <v>44</v>
      </c>
      <c r="L6" s="73">
        <v>0</v>
      </c>
      <c r="M6" s="73">
        <v>32</v>
      </c>
      <c r="O6" s="71"/>
      <c r="P6" s="71"/>
      <c r="Q6" s="71"/>
      <c r="R6" s="71"/>
    </row>
    <row r="7" spans="3:18" x14ac:dyDescent="0.25">
      <c r="C7" s="1" t="s">
        <v>53</v>
      </c>
      <c r="D7" s="4">
        <v>3</v>
      </c>
      <c r="E7" s="4">
        <v>1</v>
      </c>
      <c r="F7" s="4">
        <v>2</v>
      </c>
      <c r="G7" s="68"/>
      <c r="H7" s="68"/>
      <c r="J7" s="73"/>
      <c r="K7" s="73">
        <v>96</v>
      </c>
      <c r="L7" s="73">
        <v>0</v>
      </c>
      <c r="M7" s="73">
        <v>0</v>
      </c>
      <c r="O7" s="71"/>
      <c r="P7" s="71"/>
      <c r="Q7" s="71"/>
      <c r="R7" s="71"/>
    </row>
    <row r="8" spans="3:18" x14ac:dyDescent="0.25">
      <c r="C8" s="1"/>
    </row>
    <row r="9" spans="3:18" x14ac:dyDescent="0.25">
      <c r="C9" s="1"/>
      <c r="D9" s="23" t="s">
        <v>54</v>
      </c>
      <c r="E9" s="23" t="s">
        <v>55</v>
      </c>
      <c r="F9" s="23" t="s">
        <v>56</v>
      </c>
    </row>
    <row r="10" spans="3:18" x14ac:dyDescent="0.25">
      <c r="C10" s="1" t="s">
        <v>57</v>
      </c>
      <c r="D10" s="4">
        <v>64</v>
      </c>
      <c r="E10" s="4">
        <v>44</v>
      </c>
      <c r="F10" s="4">
        <v>80</v>
      </c>
    </row>
    <row r="11" spans="3:18" x14ac:dyDescent="0.25">
      <c r="C11" s="1"/>
      <c r="D11" s="3"/>
      <c r="E11" s="3"/>
      <c r="F11" s="3"/>
    </row>
    <row r="12" spans="3:18" x14ac:dyDescent="0.25">
      <c r="C12" s="1" t="s">
        <v>58</v>
      </c>
      <c r="D12" s="4">
        <v>0.5</v>
      </c>
      <c r="E12" s="4">
        <v>1</v>
      </c>
      <c r="F12" s="4">
        <v>0.25</v>
      </c>
    </row>
    <row r="14" spans="3:18" x14ac:dyDescent="0.25">
      <c r="C14" s="14"/>
      <c r="I14" s="14"/>
    </row>
    <row r="15" spans="3:18" x14ac:dyDescent="0.25">
      <c r="C15" s="14"/>
      <c r="I15" s="14"/>
    </row>
    <row r="16" spans="3:18" x14ac:dyDescent="0.25">
      <c r="C16" s="14"/>
      <c r="I16" s="14"/>
    </row>
    <row r="17" spans="2:12" x14ac:dyDescent="0.25">
      <c r="C17" s="14"/>
      <c r="I17" s="14"/>
    </row>
    <row r="19" spans="2:12" ht="13" x14ac:dyDescent="0.3">
      <c r="B19" s="2" t="s">
        <v>1</v>
      </c>
    </row>
    <row r="21" spans="2:12" x14ac:dyDescent="0.25">
      <c r="B21" s="1" t="s">
        <v>51</v>
      </c>
      <c r="C21" s="4">
        <v>1</v>
      </c>
      <c r="D21" s="4">
        <v>2</v>
      </c>
      <c r="E21" s="4">
        <v>3</v>
      </c>
      <c r="F21" s="4">
        <v>1</v>
      </c>
      <c r="G21" s="69">
        <v>3</v>
      </c>
      <c r="I21" s="14" t="s">
        <v>59</v>
      </c>
      <c r="J21" s="14">
        <f t="array" ref="J21:L23">w(C21:G23, C26:E26, C28:E28)</f>
        <v>0</v>
      </c>
      <c r="K21">
        <v>52</v>
      </c>
      <c r="L21">
        <v>76</v>
      </c>
    </row>
    <row r="22" spans="2:12" x14ac:dyDescent="0.25">
      <c r="B22" s="1" t="s">
        <v>52</v>
      </c>
      <c r="C22" s="4">
        <v>2</v>
      </c>
      <c r="D22" s="4">
        <v>1</v>
      </c>
      <c r="E22" s="4">
        <v>3</v>
      </c>
      <c r="F22" s="4">
        <v>1</v>
      </c>
      <c r="G22" s="68"/>
      <c r="J22">
        <v>44</v>
      </c>
      <c r="K22">
        <v>0</v>
      </c>
      <c r="L22">
        <v>32</v>
      </c>
    </row>
    <row r="23" spans="2:12" x14ac:dyDescent="0.25">
      <c r="B23" s="1" t="s">
        <v>53</v>
      </c>
      <c r="C23" s="4">
        <v>3</v>
      </c>
      <c r="D23" s="4">
        <v>1</v>
      </c>
      <c r="E23" s="4">
        <v>2</v>
      </c>
      <c r="F23" s="68"/>
      <c r="G23" s="68"/>
      <c r="J23">
        <v>96</v>
      </c>
      <c r="K23">
        <v>0</v>
      </c>
      <c r="L23">
        <v>0</v>
      </c>
    </row>
    <row r="24" spans="2:12" x14ac:dyDescent="0.25">
      <c r="B24" s="1"/>
    </row>
    <row r="25" spans="2:12" x14ac:dyDescent="0.25">
      <c r="B25" s="1"/>
      <c r="C25" s="23" t="s">
        <v>54</v>
      </c>
      <c r="D25" s="23" t="s">
        <v>55</v>
      </c>
      <c r="E25" s="23" t="s">
        <v>56</v>
      </c>
    </row>
    <row r="26" spans="2:12" x14ac:dyDescent="0.25">
      <c r="B26" s="1" t="s">
        <v>57</v>
      </c>
      <c r="C26" s="4">
        <v>64</v>
      </c>
      <c r="D26" s="4">
        <v>44</v>
      </c>
      <c r="E26" s="4">
        <v>80</v>
      </c>
    </row>
    <row r="27" spans="2:12" x14ac:dyDescent="0.25">
      <c r="B27" s="1"/>
      <c r="C27" s="3"/>
      <c r="D27" s="3"/>
      <c r="E27" s="3"/>
    </row>
    <row r="28" spans="2:12" x14ac:dyDescent="0.25">
      <c r="B28" s="1" t="s">
        <v>58</v>
      </c>
      <c r="C28" s="4">
        <v>0.5</v>
      </c>
      <c r="D28" s="4">
        <v>1</v>
      </c>
      <c r="E28" s="4">
        <v>0.25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CE73-0249-4843-A8FB-14C3FFB4C1A5}">
  <dimension ref="A5:G71"/>
  <sheetViews>
    <sheetView workbookViewId="0">
      <selection activeCell="I67" sqref="I67"/>
    </sheetView>
  </sheetViews>
  <sheetFormatPr defaultColWidth="10.90625" defaultRowHeight="12.5" x14ac:dyDescent="0.25"/>
  <sheetData>
    <row r="5" spans="1:7" ht="15.5" x14ac:dyDescent="0.35">
      <c r="A5" s="39" t="s">
        <v>21</v>
      </c>
      <c r="B5" s="40" t="s">
        <v>22</v>
      </c>
      <c r="C5" s="40"/>
      <c r="D5" s="40"/>
      <c r="E5" s="40"/>
      <c r="F5" s="40"/>
      <c r="G5" s="40"/>
    </row>
    <row r="6" spans="1:7" ht="15.5" x14ac:dyDescent="0.35">
      <c r="A6" s="39"/>
      <c r="B6" s="40"/>
      <c r="C6" s="40"/>
      <c r="D6" s="40"/>
      <c r="E6" s="40"/>
      <c r="F6" s="40"/>
      <c r="G6" s="40"/>
    </row>
    <row r="7" spans="1:7" ht="15.5" x14ac:dyDescent="0.35">
      <c r="A7" s="39"/>
      <c r="B7" s="40"/>
      <c r="C7" s="41">
        <v>1</v>
      </c>
      <c r="D7" s="41">
        <v>2</v>
      </c>
      <c r="E7" s="41">
        <v>3</v>
      </c>
      <c r="F7" s="41">
        <v>4</v>
      </c>
      <c r="G7" s="41" t="s">
        <v>23</v>
      </c>
    </row>
    <row r="8" spans="1:7" ht="15.5" x14ac:dyDescent="0.35">
      <c r="A8" s="42" t="s">
        <v>24</v>
      </c>
      <c r="B8" s="43"/>
      <c r="C8" s="43">
        <v>1</v>
      </c>
      <c r="D8" s="43">
        <v>2</v>
      </c>
      <c r="E8" s="43">
        <v>3</v>
      </c>
      <c r="F8" s="43">
        <v>4</v>
      </c>
      <c r="G8" s="44">
        <v>3830</v>
      </c>
    </row>
    <row r="9" spans="1:7" ht="15.5" x14ac:dyDescent="0.35">
      <c r="A9" s="39"/>
      <c r="B9" s="45" t="s">
        <v>25</v>
      </c>
      <c r="C9" s="40">
        <v>1</v>
      </c>
      <c r="D9" s="40">
        <v>2</v>
      </c>
      <c r="E9" s="40">
        <v>4</v>
      </c>
      <c r="F9" s="40">
        <v>3</v>
      </c>
      <c r="G9" s="46">
        <v>3680</v>
      </c>
    </row>
    <row r="10" spans="1:7" ht="15.5" x14ac:dyDescent="0.35">
      <c r="A10" s="39"/>
      <c r="B10" s="45" t="s">
        <v>26</v>
      </c>
      <c r="C10" s="40">
        <v>1</v>
      </c>
      <c r="D10" s="40">
        <v>3</v>
      </c>
      <c r="E10" s="40">
        <v>2</v>
      </c>
      <c r="F10" s="40">
        <v>4</v>
      </c>
      <c r="G10" s="47">
        <v>5330</v>
      </c>
    </row>
    <row r="11" spans="1:7" ht="15.5" x14ac:dyDescent="0.35">
      <c r="A11" s="39"/>
      <c r="B11" s="45" t="s">
        <v>27</v>
      </c>
      <c r="C11" s="40">
        <v>1</v>
      </c>
      <c r="D11" s="40">
        <v>4</v>
      </c>
      <c r="E11" s="40">
        <v>3</v>
      </c>
      <c r="F11" s="40">
        <v>2</v>
      </c>
      <c r="G11" s="47">
        <v>4810</v>
      </c>
    </row>
    <row r="12" spans="1:7" ht="15.5" x14ac:dyDescent="0.35">
      <c r="A12" s="39"/>
      <c r="B12" s="45" t="s">
        <v>28</v>
      </c>
      <c r="C12" s="40">
        <v>2</v>
      </c>
      <c r="D12" s="40">
        <v>1</v>
      </c>
      <c r="E12" s="40">
        <v>3</v>
      </c>
      <c r="F12" s="40">
        <v>4</v>
      </c>
      <c r="G12" s="47">
        <v>4170</v>
      </c>
    </row>
    <row r="13" spans="1:7" ht="15.5" x14ac:dyDescent="0.35">
      <c r="A13" s="39"/>
      <c r="B13" s="45" t="s">
        <v>29</v>
      </c>
      <c r="C13" s="40">
        <v>3</v>
      </c>
      <c r="D13" s="40">
        <v>2</v>
      </c>
      <c r="E13" s="40">
        <v>1</v>
      </c>
      <c r="F13" s="40">
        <v>4</v>
      </c>
      <c r="G13" s="47">
        <v>4500</v>
      </c>
    </row>
    <row r="14" spans="1:7" ht="15.5" x14ac:dyDescent="0.35">
      <c r="A14" s="39"/>
      <c r="B14" s="48" t="s">
        <v>30</v>
      </c>
      <c r="C14" s="49">
        <v>4</v>
      </c>
      <c r="D14" s="49">
        <v>2</v>
      </c>
      <c r="E14" s="49">
        <v>3</v>
      </c>
      <c r="F14" s="49">
        <v>1</v>
      </c>
      <c r="G14" s="50">
        <v>5270</v>
      </c>
    </row>
    <row r="15" spans="1:7" ht="15.5" x14ac:dyDescent="0.25">
      <c r="A15" s="59" t="s">
        <v>25</v>
      </c>
      <c r="B15" s="60"/>
      <c r="C15" s="61">
        <v>1</v>
      </c>
      <c r="D15" s="61">
        <v>2</v>
      </c>
      <c r="E15" s="61">
        <v>4</v>
      </c>
      <c r="F15" s="61">
        <v>3</v>
      </c>
      <c r="G15" s="62">
        <v>3680</v>
      </c>
    </row>
    <row r="16" spans="1:7" ht="15.5" x14ac:dyDescent="0.35">
      <c r="A16" s="39"/>
      <c r="B16" s="51" t="s">
        <v>24</v>
      </c>
      <c r="C16" s="52">
        <v>1</v>
      </c>
      <c r="D16" s="52">
        <v>2</v>
      </c>
      <c r="E16" s="52">
        <v>3</v>
      </c>
      <c r="F16" s="52">
        <v>4</v>
      </c>
      <c r="G16" s="53">
        <v>3830</v>
      </c>
    </row>
    <row r="17" spans="1:7" ht="15.5" x14ac:dyDescent="0.35">
      <c r="A17" s="39"/>
      <c r="B17" s="45" t="s">
        <v>31</v>
      </c>
      <c r="C17" s="40">
        <v>1</v>
      </c>
      <c r="D17" s="40">
        <v>3</v>
      </c>
      <c r="E17" s="40">
        <v>4</v>
      </c>
      <c r="F17" s="40">
        <v>2</v>
      </c>
      <c r="G17" s="47">
        <v>5660</v>
      </c>
    </row>
    <row r="18" spans="1:7" ht="15.5" x14ac:dyDescent="0.35">
      <c r="A18" s="39"/>
      <c r="B18" s="45" t="s">
        <v>32</v>
      </c>
      <c r="C18" s="40">
        <v>1</v>
      </c>
      <c r="D18" s="40">
        <v>4</v>
      </c>
      <c r="E18" s="40">
        <v>2</v>
      </c>
      <c r="F18" s="40">
        <v>3</v>
      </c>
      <c r="G18" s="47">
        <v>4330</v>
      </c>
    </row>
    <row r="19" spans="1:7" ht="15.5" x14ac:dyDescent="0.35">
      <c r="A19" s="39"/>
      <c r="B19" s="45" t="s">
        <v>33</v>
      </c>
      <c r="C19" s="40">
        <v>2</v>
      </c>
      <c r="D19" s="40">
        <v>1</v>
      </c>
      <c r="E19" s="40">
        <v>4</v>
      </c>
      <c r="F19" s="40">
        <v>3</v>
      </c>
      <c r="G19" s="47">
        <v>4020</v>
      </c>
    </row>
    <row r="20" spans="1:7" ht="15.5" x14ac:dyDescent="0.35">
      <c r="A20" s="39"/>
      <c r="B20" s="45" t="s">
        <v>34</v>
      </c>
      <c r="C20" s="40">
        <v>3</v>
      </c>
      <c r="D20" s="40">
        <v>2</v>
      </c>
      <c r="E20" s="40">
        <v>4</v>
      </c>
      <c r="F20" s="40">
        <v>1</v>
      </c>
      <c r="G20" s="47">
        <v>4320</v>
      </c>
    </row>
    <row r="21" spans="1:7" ht="15.5" x14ac:dyDescent="0.35">
      <c r="A21" s="39"/>
      <c r="B21" s="48" t="s">
        <v>35</v>
      </c>
      <c r="C21" s="49">
        <v>4</v>
      </c>
      <c r="D21" s="49">
        <v>2</v>
      </c>
      <c r="E21" s="49">
        <v>1</v>
      </c>
      <c r="F21" s="49">
        <v>3</v>
      </c>
      <c r="G21" s="50">
        <v>5300</v>
      </c>
    </row>
    <row r="22" spans="1:7" ht="15.5" x14ac:dyDescent="0.35">
      <c r="A22" s="39"/>
      <c r="B22" s="40"/>
      <c r="C22" s="40"/>
      <c r="D22" s="40"/>
      <c r="E22" s="40"/>
      <c r="F22" s="40"/>
      <c r="G22" s="40"/>
    </row>
    <row r="23" spans="1:7" ht="15.5" x14ac:dyDescent="0.35">
      <c r="A23" s="39" t="s">
        <v>36</v>
      </c>
      <c r="B23" s="40" t="s">
        <v>37</v>
      </c>
      <c r="C23" s="40"/>
      <c r="D23" s="40"/>
      <c r="E23" s="40"/>
      <c r="F23" s="40"/>
      <c r="G23" s="40"/>
    </row>
    <row r="24" spans="1:7" ht="15.5" x14ac:dyDescent="0.35">
      <c r="A24" s="39"/>
      <c r="B24" s="40"/>
      <c r="C24" s="40"/>
      <c r="D24" s="40"/>
      <c r="E24" s="40"/>
      <c r="F24" s="40"/>
      <c r="G24" s="40"/>
    </row>
    <row r="25" spans="1:7" ht="15.5" x14ac:dyDescent="0.35">
      <c r="A25" s="39"/>
      <c r="B25" s="40"/>
      <c r="C25" s="41">
        <v>1</v>
      </c>
      <c r="D25" s="41">
        <v>2</v>
      </c>
      <c r="E25" s="41">
        <v>3</v>
      </c>
      <c r="F25" s="41">
        <v>4</v>
      </c>
      <c r="G25" s="41" t="s">
        <v>23</v>
      </c>
    </row>
    <row r="26" spans="1:7" ht="15.5" x14ac:dyDescent="0.35">
      <c r="A26" s="42" t="s">
        <v>38</v>
      </c>
      <c r="B26" s="43"/>
      <c r="C26" s="43">
        <v>3</v>
      </c>
      <c r="D26" s="43">
        <v>4</v>
      </c>
      <c r="E26" s="43">
        <v>1</v>
      </c>
      <c r="F26" s="43">
        <v>2</v>
      </c>
      <c r="G26" s="44">
        <v>4180</v>
      </c>
    </row>
    <row r="27" spans="1:7" ht="15.5" x14ac:dyDescent="0.35">
      <c r="A27" s="39"/>
      <c r="B27" s="45" t="s">
        <v>29</v>
      </c>
      <c r="C27" s="40">
        <v>3</v>
      </c>
      <c r="D27" s="40">
        <v>2</v>
      </c>
      <c r="E27" s="40">
        <v>1</v>
      </c>
      <c r="F27" s="40">
        <v>4</v>
      </c>
      <c r="G27" s="54">
        <v>4500</v>
      </c>
    </row>
    <row r="28" spans="1:7" ht="15.5" x14ac:dyDescent="0.35">
      <c r="A28" s="39"/>
      <c r="B28" s="45" t="s">
        <v>39</v>
      </c>
      <c r="C28" s="40">
        <v>3</v>
      </c>
      <c r="D28" s="40">
        <v>1</v>
      </c>
      <c r="E28" s="40">
        <v>4</v>
      </c>
      <c r="F28" s="40">
        <v>2</v>
      </c>
      <c r="G28" s="47">
        <v>5680</v>
      </c>
    </row>
    <row r="29" spans="1:7" ht="15.5" x14ac:dyDescent="0.35">
      <c r="A29" s="39"/>
      <c r="B29" s="45" t="s">
        <v>40</v>
      </c>
      <c r="C29" s="40">
        <v>2</v>
      </c>
      <c r="D29" s="40">
        <v>4</v>
      </c>
      <c r="E29" s="40">
        <v>1</v>
      </c>
      <c r="F29" s="40">
        <v>3</v>
      </c>
      <c r="G29" s="47">
        <v>5520</v>
      </c>
    </row>
    <row r="30" spans="1:7" ht="15.5" x14ac:dyDescent="0.35">
      <c r="A30" s="39"/>
      <c r="B30" s="45" t="s">
        <v>27</v>
      </c>
      <c r="C30" s="40">
        <v>1</v>
      </c>
      <c r="D30" s="40">
        <v>4</v>
      </c>
      <c r="E30" s="40">
        <v>3</v>
      </c>
      <c r="F30" s="40">
        <v>2</v>
      </c>
      <c r="G30" s="47">
        <v>4810</v>
      </c>
    </row>
    <row r="31" spans="1:7" ht="15.5" x14ac:dyDescent="0.35">
      <c r="A31" s="39"/>
      <c r="B31" s="45" t="s">
        <v>41</v>
      </c>
      <c r="C31" s="40">
        <v>4</v>
      </c>
      <c r="D31" s="40">
        <v>3</v>
      </c>
      <c r="E31" s="40">
        <v>1</v>
      </c>
      <c r="F31" s="40">
        <v>2</v>
      </c>
      <c r="G31" s="47">
        <v>4280</v>
      </c>
    </row>
    <row r="32" spans="1:7" ht="15.5" x14ac:dyDescent="0.35">
      <c r="A32" s="39"/>
      <c r="B32" s="48" t="s">
        <v>42</v>
      </c>
      <c r="C32" s="49">
        <v>3</v>
      </c>
      <c r="D32" s="49">
        <v>4</v>
      </c>
      <c r="E32" s="49">
        <v>2</v>
      </c>
      <c r="F32" s="49">
        <v>1</v>
      </c>
      <c r="G32" s="55">
        <v>3670</v>
      </c>
    </row>
    <row r="33" spans="1:7" ht="15.5" x14ac:dyDescent="0.25">
      <c r="A33" s="63" t="s">
        <v>42</v>
      </c>
      <c r="B33" s="60"/>
      <c r="C33" s="64">
        <v>3</v>
      </c>
      <c r="D33" s="64">
        <v>4</v>
      </c>
      <c r="E33" s="64">
        <v>2</v>
      </c>
      <c r="F33" s="64">
        <v>1</v>
      </c>
      <c r="G33" s="65">
        <v>3670</v>
      </c>
    </row>
    <row r="34" spans="1:7" ht="15.5" x14ac:dyDescent="0.35">
      <c r="A34" s="39"/>
      <c r="B34" s="51" t="s">
        <v>38</v>
      </c>
      <c r="C34" s="52">
        <v>3</v>
      </c>
      <c r="D34" s="52">
        <v>4</v>
      </c>
      <c r="E34" s="52">
        <v>1</v>
      </c>
      <c r="F34" s="52">
        <v>2</v>
      </c>
      <c r="G34" s="53">
        <v>4180</v>
      </c>
    </row>
    <row r="35" spans="1:7" ht="15.5" x14ac:dyDescent="0.35">
      <c r="A35" s="39"/>
      <c r="B35" s="45" t="s">
        <v>34</v>
      </c>
      <c r="C35" s="40">
        <v>3</v>
      </c>
      <c r="D35" s="40">
        <v>2</v>
      </c>
      <c r="E35" s="40">
        <v>4</v>
      </c>
      <c r="F35" s="40">
        <v>1</v>
      </c>
      <c r="G35" s="47">
        <v>4320</v>
      </c>
    </row>
    <row r="36" spans="1:7" ht="15.5" x14ac:dyDescent="0.35">
      <c r="A36" s="39"/>
      <c r="B36" s="45" t="s">
        <v>43</v>
      </c>
      <c r="C36" s="40">
        <v>3</v>
      </c>
      <c r="D36" s="40">
        <v>1</v>
      </c>
      <c r="E36" s="40">
        <v>2</v>
      </c>
      <c r="F36" s="40">
        <v>4</v>
      </c>
      <c r="G36" s="47">
        <v>5350</v>
      </c>
    </row>
    <row r="37" spans="1:7" ht="15.5" x14ac:dyDescent="0.35">
      <c r="A37" s="39"/>
      <c r="B37" s="45" t="s">
        <v>44</v>
      </c>
      <c r="C37" s="40">
        <v>2</v>
      </c>
      <c r="D37" s="40">
        <v>4</v>
      </c>
      <c r="E37" s="40">
        <v>3</v>
      </c>
      <c r="F37" s="40">
        <v>1</v>
      </c>
      <c r="G37" s="47">
        <v>5490</v>
      </c>
    </row>
    <row r="38" spans="1:7" ht="15.5" x14ac:dyDescent="0.35">
      <c r="A38" s="39"/>
      <c r="B38" s="45" t="s">
        <v>32</v>
      </c>
      <c r="C38" s="40">
        <v>1</v>
      </c>
      <c r="D38" s="40">
        <v>4</v>
      </c>
      <c r="E38" s="40">
        <v>2</v>
      </c>
      <c r="F38" s="40">
        <v>3</v>
      </c>
      <c r="G38" s="47">
        <v>4330</v>
      </c>
    </row>
    <row r="39" spans="1:7" ht="15.5" x14ac:dyDescent="0.35">
      <c r="A39" s="39"/>
      <c r="B39" s="48" t="s">
        <v>45</v>
      </c>
      <c r="C39" s="49">
        <v>4</v>
      </c>
      <c r="D39" s="49">
        <v>3</v>
      </c>
      <c r="E39" s="49">
        <v>2</v>
      </c>
      <c r="F39" s="49">
        <v>1</v>
      </c>
      <c r="G39" s="50">
        <v>3770</v>
      </c>
    </row>
    <row r="40" spans="1:7" ht="15.5" x14ac:dyDescent="0.35">
      <c r="A40" s="39"/>
      <c r="B40" s="40"/>
      <c r="C40" s="40"/>
      <c r="D40" s="40"/>
      <c r="E40" s="40"/>
      <c r="F40" s="40"/>
      <c r="G40" s="40"/>
    </row>
    <row r="41" spans="1:7" ht="15.5" x14ac:dyDescent="0.35">
      <c r="A41" s="39" t="s">
        <v>46</v>
      </c>
      <c r="B41" s="40" t="s">
        <v>47</v>
      </c>
      <c r="C41" s="40"/>
      <c r="D41" s="40"/>
      <c r="E41" s="40"/>
      <c r="F41" s="40"/>
      <c r="G41" s="40"/>
    </row>
    <row r="42" spans="1:7" ht="15.5" x14ac:dyDescent="0.35">
      <c r="A42" s="39"/>
      <c r="B42" s="40"/>
      <c r="C42" s="40"/>
      <c r="D42" s="40"/>
      <c r="E42" s="40"/>
      <c r="F42" s="40"/>
      <c r="G42" s="40"/>
    </row>
    <row r="43" spans="1:7" ht="15.5" x14ac:dyDescent="0.35">
      <c r="A43" s="39"/>
      <c r="B43" s="40"/>
      <c r="C43" s="41">
        <v>1</v>
      </c>
      <c r="D43" s="41">
        <v>2</v>
      </c>
      <c r="E43" s="41">
        <v>3</v>
      </c>
      <c r="F43" s="41">
        <v>4</v>
      </c>
      <c r="G43" s="41" t="s">
        <v>23</v>
      </c>
    </row>
    <row r="44" spans="1:7" ht="15.5" x14ac:dyDescent="0.35">
      <c r="A44" s="42" t="s">
        <v>48</v>
      </c>
      <c r="B44" s="43"/>
      <c r="C44" s="43">
        <v>4</v>
      </c>
      <c r="D44" s="43">
        <v>1</v>
      </c>
      <c r="E44" s="43">
        <v>3</v>
      </c>
      <c r="F44" s="43">
        <v>2</v>
      </c>
      <c r="G44" s="44">
        <v>4930</v>
      </c>
    </row>
    <row r="45" spans="1:7" ht="15.5" x14ac:dyDescent="0.35">
      <c r="A45" s="39"/>
      <c r="B45" s="45" t="s">
        <v>30</v>
      </c>
      <c r="C45" s="40">
        <v>4</v>
      </c>
      <c r="D45" s="40">
        <v>2</v>
      </c>
      <c r="E45" s="40">
        <v>3</v>
      </c>
      <c r="F45" s="40">
        <v>1</v>
      </c>
      <c r="G45" s="54">
        <v>5270</v>
      </c>
    </row>
    <row r="46" spans="1:7" ht="15.5" x14ac:dyDescent="0.35">
      <c r="A46" s="39"/>
      <c r="B46" s="45" t="s">
        <v>41</v>
      </c>
      <c r="C46" s="40">
        <v>4</v>
      </c>
      <c r="D46" s="40">
        <v>3</v>
      </c>
      <c r="E46" s="40">
        <v>1</v>
      </c>
      <c r="F46" s="40">
        <v>2</v>
      </c>
      <c r="G46" s="47">
        <v>4280</v>
      </c>
    </row>
    <row r="47" spans="1:7" ht="15.5" x14ac:dyDescent="0.35">
      <c r="A47" s="39"/>
      <c r="B47" s="45" t="s">
        <v>39</v>
      </c>
      <c r="C47" s="40">
        <v>3</v>
      </c>
      <c r="D47" s="40">
        <v>1</v>
      </c>
      <c r="E47" s="40">
        <v>4</v>
      </c>
      <c r="F47" s="40">
        <v>2</v>
      </c>
      <c r="G47" s="47">
        <v>5680</v>
      </c>
    </row>
    <row r="48" spans="1:7" ht="15.5" x14ac:dyDescent="0.35">
      <c r="A48" s="39"/>
      <c r="B48" s="45" t="s">
        <v>28</v>
      </c>
      <c r="C48" s="40">
        <v>2</v>
      </c>
      <c r="D48" s="40">
        <v>1</v>
      </c>
      <c r="E48" s="40">
        <v>3</v>
      </c>
      <c r="F48" s="40">
        <v>4</v>
      </c>
      <c r="G48" s="46">
        <v>4170</v>
      </c>
    </row>
    <row r="49" spans="1:7" ht="15.5" x14ac:dyDescent="0.35">
      <c r="A49" s="39"/>
      <c r="B49" s="45" t="s">
        <v>27</v>
      </c>
      <c r="C49" s="40">
        <v>1</v>
      </c>
      <c r="D49" s="40">
        <v>4</v>
      </c>
      <c r="E49" s="40">
        <v>3</v>
      </c>
      <c r="F49" s="40">
        <v>2</v>
      </c>
      <c r="G49" s="47">
        <v>4810</v>
      </c>
    </row>
    <row r="50" spans="1:7" ht="15.5" x14ac:dyDescent="0.35">
      <c r="A50" s="39"/>
      <c r="B50" s="48" t="s">
        <v>49</v>
      </c>
      <c r="C50" s="49">
        <v>4</v>
      </c>
      <c r="D50" s="49">
        <v>1</v>
      </c>
      <c r="E50" s="49">
        <v>2</v>
      </c>
      <c r="F50" s="49">
        <v>3</v>
      </c>
      <c r="G50" s="56">
        <v>4450</v>
      </c>
    </row>
    <row r="51" spans="1:7" ht="15.5" x14ac:dyDescent="0.25">
      <c r="A51" s="57" t="s">
        <v>28</v>
      </c>
      <c r="B51" s="58"/>
      <c r="C51" s="49">
        <v>2</v>
      </c>
      <c r="D51" s="49">
        <v>1</v>
      </c>
      <c r="E51" s="49">
        <v>3</v>
      </c>
      <c r="F51" s="49">
        <v>4</v>
      </c>
      <c r="G51" s="56">
        <v>4170</v>
      </c>
    </row>
    <row r="52" spans="1:7" ht="15.5" x14ac:dyDescent="0.35">
      <c r="A52" s="39"/>
      <c r="B52" s="51" t="s">
        <v>33</v>
      </c>
      <c r="C52" s="52">
        <v>2</v>
      </c>
      <c r="D52" s="52">
        <v>1</v>
      </c>
      <c r="E52" s="52">
        <v>4</v>
      </c>
      <c r="F52" s="52">
        <v>3</v>
      </c>
      <c r="G52" s="53">
        <v>4020</v>
      </c>
    </row>
    <row r="53" spans="1:7" ht="15.5" x14ac:dyDescent="0.35">
      <c r="A53" s="39"/>
      <c r="B53" s="45" t="s">
        <v>50</v>
      </c>
      <c r="C53" s="40">
        <v>2</v>
      </c>
      <c r="D53" s="40">
        <v>3</v>
      </c>
      <c r="E53" s="40">
        <v>1</v>
      </c>
      <c r="F53" s="40">
        <v>4</v>
      </c>
      <c r="G53" s="47">
        <v>4820</v>
      </c>
    </row>
    <row r="54" spans="1:7" ht="15.5" x14ac:dyDescent="0.35">
      <c r="A54" s="39"/>
      <c r="B54" s="45" t="s">
        <v>44</v>
      </c>
      <c r="C54" s="40">
        <v>2</v>
      </c>
      <c r="D54" s="40">
        <v>4</v>
      </c>
      <c r="E54" s="40">
        <v>3</v>
      </c>
      <c r="F54" s="40">
        <v>1</v>
      </c>
      <c r="G54" s="47">
        <v>5490</v>
      </c>
    </row>
    <row r="55" spans="1:7" ht="15.5" x14ac:dyDescent="0.35">
      <c r="A55" s="39"/>
      <c r="B55" s="45" t="s">
        <v>24</v>
      </c>
      <c r="C55" s="40">
        <v>1</v>
      </c>
      <c r="D55" s="40">
        <v>2</v>
      </c>
      <c r="E55" s="40">
        <v>3</v>
      </c>
      <c r="F55" s="40">
        <v>4</v>
      </c>
      <c r="G55" s="46">
        <v>3830</v>
      </c>
    </row>
    <row r="56" spans="1:7" ht="15.5" x14ac:dyDescent="0.35">
      <c r="A56" s="39"/>
      <c r="B56" s="45" t="s">
        <v>48</v>
      </c>
      <c r="C56" s="40">
        <v>4</v>
      </c>
      <c r="D56" s="40">
        <v>1</v>
      </c>
      <c r="E56" s="40">
        <v>3</v>
      </c>
      <c r="F56" s="40">
        <v>2</v>
      </c>
      <c r="G56" s="47">
        <v>4930</v>
      </c>
    </row>
    <row r="57" spans="1:7" ht="15.5" x14ac:dyDescent="0.35">
      <c r="A57" s="39"/>
      <c r="B57" s="48" t="s">
        <v>43</v>
      </c>
      <c r="C57" s="49">
        <v>3</v>
      </c>
      <c r="D57" s="49">
        <v>1</v>
      </c>
      <c r="E57" s="49">
        <v>2</v>
      </c>
      <c r="F57" s="49">
        <v>4</v>
      </c>
      <c r="G57" s="50">
        <v>5350</v>
      </c>
    </row>
    <row r="58" spans="1:7" ht="15.5" x14ac:dyDescent="0.35">
      <c r="A58" s="42" t="s">
        <v>24</v>
      </c>
      <c r="B58" s="43"/>
      <c r="C58" s="43">
        <v>1</v>
      </c>
      <c r="D58" s="43">
        <v>2</v>
      </c>
      <c r="E58" s="43">
        <v>3</v>
      </c>
      <c r="F58" s="43">
        <v>4</v>
      </c>
      <c r="G58" s="44">
        <v>3830</v>
      </c>
    </row>
    <row r="59" spans="1:7" ht="15.5" x14ac:dyDescent="0.35">
      <c r="A59" s="39"/>
      <c r="B59" s="45" t="s">
        <v>25</v>
      </c>
      <c r="C59" s="40">
        <v>1</v>
      </c>
      <c r="D59" s="40">
        <v>2</v>
      </c>
      <c r="E59" s="40">
        <v>4</v>
      </c>
      <c r="F59" s="40">
        <v>3</v>
      </c>
      <c r="G59" s="46">
        <v>3680</v>
      </c>
    </row>
    <row r="60" spans="1:7" ht="15.5" x14ac:dyDescent="0.35">
      <c r="A60" s="39"/>
      <c r="B60" s="45" t="s">
        <v>26</v>
      </c>
      <c r="C60" s="40">
        <v>1</v>
      </c>
      <c r="D60" s="40">
        <v>3</v>
      </c>
      <c r="E60" s="40">
        <v>2</v>
      </c>
      <c r="F60" s="40">
        <v>4</v>
      </c>
      <c r="G60" s="47">
        <v>5330</v>
      </c>
    </row>
    <row r="61" spans="1:7" ht="15.5" x14ac:dyDescent="0.35">
      <c r="A61" s="39"/>
      <c r="B61" s="45" t="s">
        <v>27</v>
      </c>
      <c r="C61" s="40">
        <v>1</v>
      </c>
      <c r="D61" s="40">
        <v>4</v>
      </c>
      <c r="E61" s="40">
        <v>3</v>
      </c>
      <c r="F61" s="40">
        <v>2</v>
      </c>
      <c r="G61" s="47">
        <v>4810</v>
      </c>
    </row>
    <row r="62" spans="1:7" ht="15.5" x14ac:dyDescent="0.35">
      <c r="A62" s="39"/>
      <c r="B62" s="45" t="s">
        <v>28</v>
      </c>
      <c r="C62" s="40">
        <v>2</v>
      </c>
      <c r="D62" s="40">
        <v>1</v>
      </c>
      <c r="E62" s="40">
        <v>3</v>
      </c>
      <c r="F62" s="40">
        <v>4</v>
      </c>
      <c r="G62" s="47">
        <v>4170</v>
      </c>
    </row>
    <row r="63" spans="1:7" ht="15.5" x14ac:dyDescent="0.35">
      <c r="A63" s="39"/>
      <c r="B63" s="45" t="s">
        <v>29</v>
      </c>
      <c r="C63" s="40">
        <v>3</v>
      </c>
      <c r="D63" s="40">
        <v>2</v>
      </c>
      <c r="E63" s="40">
        <v>1</v>
      </c>
      <c r="F63" s="40">
        <v>4</v>
      </c>
      <c r="G63" s="47">
        <v>4500</v>
      </c>
    </row>
    <row r="64" spans="1:7" ht="15.5" x14ac:dyDescent="0.35">
      <c r="A64" s="39"/>
      <c r="B64" s="48" t="s">
        <v>30</v>
      </c>
      <c r="C64" s="49">
        <v>4</v>
      </c>
      <c r="D64" s="49">
        <v>2</v>
      </c>
      <c r="E64" s="49">
        <v>3</v>
      </c>
      <c r="F64" s="49">
        <v>1</v>
      </c>
      <c r="G64" s="50">
        <v>5270</v>
      </c>
    </row>
    <row r="65" spans="1:7" ht="15.5" x14ac:dyDescent="0.25">
      <c r="A65" s="59" t="s">
        <v>25</v>
      </c>
      <c r="B65" s="60"/>
      <c r="C65" s="61">
        <v>1</v>
      </c>
      <c r="D65" s="61">
        <v>2</v>
      </c>
      <c r="E65" s="61">
        <v>4</v>
      </c>
      <c r="F65" s="61">
        <v>3</v>
      </c>
      <c r="G65" s="62">
        <v>3680</v>
      </c>
    </row>
    <row r="66" spans="1:7" ht="15.5" x14ac:dyDescent="0.35">
      <c r="A66" s="39"/>
      <c r="B66" s="51" t="s">
        <v>24</v>
      </c>
      <c r="C66" s="52">
        <v>1</v>
      </c>
      <c r="D66" s="52">
        <v>2</v>
      </c>
      <c r="E66" s="52">
        <v>3</v>
      </c>
      <c r="F66" s="52">
        <v>4</v>
      </c>
      <c r="G66" s="53">
        <v>3830</v>
      </c>
    </row>
    <row r="67" spans="1:7" ht="15.5" x14ac:dyDescent="0.35">
      <c r="A67" s="39"/>
      <c r="B67" s="45" t="s">
        <v>31</v>
      </c>
      <c r="C67" s="40">
        <v>1</v>
      </c>
      <c r="D67" s="40">
        <v>3</v>
      </c>
      <c r="E67" s="40">
        <v>4</v>
      </c>
      <c r="F67" s="40">
        <v>2</v>
      </c>
      <c r="G67" s="47">
        <v>5660</v>
      </c>
    </row>
    <row r="68" spans="1:7" ht="15.5" x14ac:dyDescent="0.35">
      <c r="A68" s="39"/>
      <c r="B68" s="45" t="s">
        <v>32</v>
      </c>
      <c r="C68" s="40">
        <v>1</v>
      </c>
      <c r="D68" s="40">
        <v>4</v>
      </c>
      <c r="E68" s="40">
        <v>2</v>
      </c>
      <c r="F68" s="40">
        <v>3</v>
      </c>
      <c r="G68" s="47">
        <v>4330</v>
      </c>
    </row>
    <row r="69" spans="1:7" ht="15.5" x14ac:dyDescent="0.35">
      <c r="A69" s="39"/>
      <c r="B69" s="45" t="s">
        <v>33</v>
      </c>
      <c r="C69" s="40">
        <v>2</v>
      </c>
      <c r="D69" s="40">
        <v>1</v>
      </c>
      <c r="E69" s="40">
        <v>4</v>
      </c>
      <c r="F69" s="40">
        <v>3</v>
      </c>
      <c r="G69" s="47">
        <v>4020</v>
      </c>
    </row>
    <row r="70" spans="1:7" ht="15.5" x14ac:dyDescent="0.35">
      <c r="A70" s="39"/>
      <c r="B70" s="45" t="s">
        <v>34</v>
      </c>
      <c r="C70" s="40">
        <v>3</v>
      </c>
      <c r="D70" s="40">
        <v>2</v>
      </c>
      <c r="E70" s="40">
        <v>4</v>
      </c>
      <c r="F70" s="40">
        <v>1</v>
      </c>
      <c r="G70" s="47">
        <v>4320</v>
      </c>
    </row>
    <row r="71" spans="1:7" ht="15.5" x14ac:dyDescent="0.35">
      <c r="A71" s="39"/>
      <c r="B71" s="48" t="s">
        <v>35</v>
      </c>
      <c r="C71" s="49">
        <v>4</v>
      </c>
      <c r="D71" s="49">
        <v>2</v>
      </c>
      <c r="E71" s="49">
        <v>1</v>
      </c>
      <c r="F71" s="49">
        <v>3</v>
      </c>
      <c r="G71" s="50">
        <v>5300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FD5C-83AE-5840-A80B-CDD38DBD2C1E}">
  <sheetPr codeName="Sheet6"/>
  <dimension ref="A2:AH80"/>
  <sheetViews>
    <sheetView workbookViewId="0">
      <selection activeCell="L4" sqref="L4"/>
    </sheetView>
  </sheetViews>
  <sheetFormatPr defaultColWidth="8.81640625" defaultRowHeight="12.5" x14ac:dyDescent="0.25"/>
  <cols>
    <col min="1" max="1" width="22" bestFit="1" customWidth="1"/>
    <col min="2" max="9" width="9" bestFit="1" customWidth="1"/>
    <col min="10" max="10" width="10.1796875" bestFit="1" customWidth="1"/>
    <col min="12" max="12" width="10.81640625" customWidth="1"/>
    <col min="21" max="21" width="14.6328125" bestFit="1" customWidth="1"/>
  </cols>
  <sheetData>
    <row r="2" spans="1:26" ht="13" x14ac:dyDescent="0.3">
      <c r="A2" s="2" t="s">
        <v>1</v>
      </c>
      <c r="K2" s="9" t="s">
        <v>6</v>
      </c>
      <c r="N2" s="13"/>
      <c r="P2" s="13" t="s">
        <v>3</v>
      </c>
      <c r="Q2" s="13"/>
      <c r="V2" s="17"/>
      <c r="W2" s="17"/>
      <c r="X2" s="17"/>
    </row>
    <row r="3" spans="1:26" x14ac:dyDescent="0.25">
      <c r="J3" s="17"/>
      <c r="K3" s="9"/>
      <c r="L3" s="3">
        <v>1</v>
      </c>
      <c r="M3" s="3">
        <v>2</v>
      </c>
      <c r="N3" s="3">
        <v>3</v>
      </c>
      <c r="O3" s="3">
        <v>4</v>
      </c>
      <c r="P3" s="3">
        <v>5</v>
      </c>
      <c r="Q3" s="3">
        <v>6</v>
      </c>
      <c r="R3" s="3">
        <v>7</v>
      </c>
      <c r="S3" s="3">
        <v>8</v>
      </c>
      <c r="V3" s="7"/>
      <c r="W3" s="7"/>
      <c r="X3" s="17"/>
    </row>
    <row r="4" spans="1:26" x14ac:dyDescent="0.25">
      <c r="A4" s="10" t="s">
        <v>11</v>
      </c>
      <c r="B4" s="4">
        <v>3</v>
      </c>
      <c r="C4" s="4">
        <v>6</v>
      </c>
      <c r="D4" s="4">
        <v>5</v>
      </c>
      <c r="E4" s="4">
        <v>8</v>
      </c>
      <c r="F4" s="4">
        <v>6</v>
      </c>
      <c r="G4" s="4">
        <v>4</v>
      </c>
      <c r="H4" s="4"/>
      <c r="I4" s="4"/>
      <c r="J4" s="17"/>
      <c r="K4" s="3">
        <v>1</v>
      </c>
      <c r="L4" s="4">
        <f t="array" ref="L4:S11">w(B4:I9,B13:G13,B15:G15)</f>
        <v>0</v>
      </c>
      <c r="M4" s="4">
        <v>0</v>
      </c>
      <c r="N4" s="4">
        <v>0</v>
      </c>
      <c r="O4" s="4">
        <v>7872</v>
      </c>
      <c r="P4" s="4">
        <v>0</v>
      </c>
      <c r="Q4" s="4">
        <v>0</v>
      </c>
      <c r="R4" s="4">
        <v>278382</v>
      </c>
      <c r="S4" s="4">
        <v>0</v>
      </c>
      <c r="V4" s="7"/>
      <c r="W4" s="7"/>
      <c r="X4" s="17"/>
    </row>
    <row r="5" spans="1:26" x14ac:dyDescent="0.25">
      <c r="A5" s="10">
        <v>2</v>
      </c>
      <c r="B5" s="4">
        <v>5</v>
      </c>
      <c r="C5" s="4">
        <v>3</v>
      </c>
      <c r="D5" s="4">
        <v>4</v>
      </c>
      <c r="E5" s="4">
        <v>1</v>
      </c>
      <c r="F5" s="4">
        <v>7</v>
      </c>
      <c r="G5" s="4">
        <v>5</v>
      </c>
      <c r="H5" s="4"/>
      <c r="I5" s="4"/>
      <c r="J5" s="17"/>
      <c r="K5" s="7">
        <v>2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51822</v>
      </c>
      <c r="R5" s="4">
        <v>0</v>
      </c>
      <c r="S5" s="4">
        <v>0</v>
      </c>
      <c r="V5" s="7"/>
      <c r="W5" s="7"/>
      <c r="X5" s="17"/>
    </row>
    <row r="6" spans="1:26" x14ac:dyDescent="0.25">
      <c r="A6" s="10">
        <v>3</v>
      </c>
      <c r="B6" s="4">
        <v>8</v>
      </c>
      <c r="C6" s="4">
        <v>4</v>
      </c>
      <c r="D6" s="4">
        <v>2</v>
      </c>
      <c r="E6" s="4">
        <v>6</v>
      </c>
      <c r="F6" s="4">
        <v>5</v>
      </c>
      <c r="G6" s="4">
        <v>3</v>
      </c>
      <c r="H6" s="4">
        <v>1</v>
      </c>
      <c r="I6" s="4">
        <v>7</v>
      </c>
      <c r="J6" s="17"/>
      <c r="K6" s="7">
        <v>3</v>
      </c>
      <c r="L6" s="4">
        <v>51822</v>
      </c>
      <c r="M6" s="4">
        <v>0</v>
      </c>
      <c r="N6" s="4">
        <v>0</v>
      </c>
      <c r="O6" s="4">
        <v>226560</v>
      </c>
      <c r="P6" s="4">
        <v>7872</v>
      </c>
      <c r="Q6" s="4">
        <v>1936</v>
      </c>
      <c r="R6" s="4">
        <v>0</v>
      </c>
      <c r="S6" s="4">
        <v>0</v>
      </c>
      <c r="V6" s="7"/>
      <c r="W6" s="7"/>
      <c r="X6" s="17"/>
    </row>
    <row r="7" spans="1:26" x14ac:dyDescent="0.25">
      <c r="A7" s="10">
        <v>4</v>
      </c>
      <c r="B7" s="4">
        <v>6</v>
      </c>
      <c r="C7" s="4">
        <v>1</v>
      </c>
      <c r="D7" s="4">
        <v>4</v>
      </c>
      <c r="E7" s="4">
        <v>7</v>
      </c>
      <c r="F7" s="4">
        <v>3</v>
      </c>
      <c r="G7" s="4">
        <v>5</v>
      </c>
      <c r="H7" s="4">
        <v>8</v>
      </c>
      <c r="I7" s="4">
        <v>2</v>
      </c>
      <c r="J7" s="17"/>
      <c r="K7" s="8">
        <v>4</v>
      </c>
      <c r="L7" s="4">
        <v>226560</v>
      </c>
      <c r="M7" s="4">
        <v>25272</v>
      </c>
      <c r="N7" s="4">
        <v>0</v>
      </c>
      <c r="O7" s="4">
        <v>0</v>
      </c>
      <c r="P7" s="4">
        <v>0</v>
      </c>
      <c r="Q7" s="4">
        <v>441000</v>
      </c>
      <c r="R7" s="4">
        <v>7872</v>
      </c>
      <c r="S7" s="4">
        <v>0</v>
      </c>
      <c r="V7" s="7"/>
      <c r="W7" s="7"/>
      <c r="X7" s="17"/>
    </row>
    <row r="8" spans="1:26" x14ac:dyDescent="0.25">
      <c r="A8" s="10">
        <v>5</v>
      </c>
      <c r="B8" s="4">
        <v>5</v>
      </c>
      <c r="C8" s="4">
        <v>8</v>
      </c>
      <c r="D8" s="4">
        <v>2</v>
      </c>
      <c r="E8" s="4">
        <v>6</v>
      </c>
      <c r="F8" s="4">
        <v>5</v>
      </c>
      <c r="G8" s="4">
        <v>3</v>
      </c>
      <c r="H8" s="4">
        <v>1</v>
      </c>
      <c r="I8" s="4">
        <v>7</v>
      </c>
      <c r="J8" s="17"/>
      <c r="K8" s="7">
        <v>5</v>
      </c>
      <c r="L8" s="4">
        <v>0</v>
      </c>
      <c r="M8" s="4">
        <v>0</v>
      </c>
      <c r="N8" s="4">
        <v>278382</v>
      </c>
      <c r="O8" s="4">
        <v>0</v>
      </c>
      <c r="P8" s="4">
        <v>0</v>
      </c>
      <c r="Q8" s="4">
        <v>0</v>
      </c>
      <c r="R8" s="4">
        <v>0</v>
      </c>
      <c r="S8" s="4">
        <v>36358</v>
      </c>
      <c r="V8" s="7"/>
      <c r="W8" s="7"/>
      <c r="X8" s="17"/>
    </row>
    <row r="9" spans="1:26" x14ac:dyDescent="0.25">
      <c r="A9" s="10">
        <v>6</v>
      </c>
      <c r="B9" s="4">
        <v>7</v>
      </c>
      <c r="C9" s="4">
        <v>6</v>
      </c>
      <c r="D9" s="4">
        <v>4</v>
      </c>
      <c r="E9" s="4">
        <v>6</v>
      </c>
      <c r="F9" s="4">
        <v>4</v>
      </c>
      <c r="G9" s="4"/>
      <c r="H9" s="4"/>
      <c r="I9" s="4"/>
      <c r="J9" s="17"/>
      <c r="K9" s="7">
        <v>6</v>
      </c>
      <c r="L9" s="4">
        <v>7872</v>
      </c>
      <c r="M9" s="4">
        <v>0</v>
      </c>
      <c r="N9" s="4">
        <v>0</v>
      </c>
      <c r="O9" s="4">
        <v>883936</v>
      </c>
      <c r="P9" s="4">
        <v>53758</v>
      </c>
      <c r="Q9" s="4">
        <v>0</v>
      </c>
      <c r="R9" s="4">
        <v>0</v>
      </c>
      <c r="S9" s="4">
        <v>0</v>
      </c>
      <c r="V9" s="7"/>
      <c r="W9" s="7"/>
      <c r="X9" s="17"/>
    </row>
    <row r="10" spans="1:26" x14ac:dyDescent="0.25">
      <c r="A10" s="22"/>
      <c r="B10" s="7"/>
      <c r="C10" s="7"/>
      <c r="D10" s="7"/>
      <c r="E10" s="7"/>
      <c r="F10" s="7"/>
      <c r="G10" s="7"/>
      <c r="H10" s="7"/>
      <c r="I10" s="7"/>
      <c r="J10" s="17"/>
      <c r="K10" s="7">
        <v>7</v>
      </c>
      <c r="L10" s="4">
        <v>0</v>
      </c>
      <c r="M10" s="4">
        <v>0</v>
      </c>
      <c r="N10" s="4">
        <v>7872</v>
      </c>
      <c r="O10" s="4">
        <v>0</v>
      </c>
      <c r="P10" s="4">
        <v>226560</v>
      </c>
      <c r="Q10" s="4">
        <v>441000</v>
      </c>
      <c r="R10" s="4">
        <v>0</v>
      </c>
      <c r="S10" s="4">
        <v>0</v>
      </c>
      <c r="V10" s="7"/>
      <c r="W10" s="7"/>
      <c r="X10" s="17"/>
    </row>
    <row r="11" spans="1:26" x14ac:dyDescent="0.25">
      <c r="F11" s="3"/>
      <c r="H11" s="17"/>
      <c r="I11" s="7"/>
      <c r="J11" s="17"/>
      <c r="K11" s="7">
        <v>8</v>
      </c>
      <c r="L11" s="4">
        <v>0</v>
      </c>
      <c r="M11" s="4">
        <v>34422</v>
      </c>
      <c r="N11" s="4">
        <v>0</v>
      </c>
      <c r="O11" s="4">
        <v>25272</v>
      </c>
      <c r="P11" s="4">
        <v>0</v>
      </c>
      <c r="Q11" s="4">
        <v>1936</v>
      </c>
      <c r="R11" s="4">
        <v>0</v>
      </c>
      <c r="S11" s="4">
        <v>0</v>
      </c>
      <c r="V11" s="7"/>
      <c r="W11" s="7"/>
      <c r="X11" s="17"/>
    </row>
    <row r="12" spans="1:26" x14ac:dyDescent="0.25">
      <c r="A12" s="10" t="s">
        <v>9</v>
      </c>
      <c r="B12" s="3">
        <v>1</v>
      </c>
      <c r="C12" s="3">
        <v>2</v>
      </c>
      <c r="D12" s="3">
        <v>3</v>
      </c>
      <c r="E12" s="3">
        <v>4</v>
      </c>
      <c r="F12" s="3">
        <v>5</v>
      </c>
      <c r="G12" s="3">
        <v>6</v>
      </c>
      <c r="H12" s="7"/>
      <c r="I12" s="7"/>
      <c r="J12" s="17"/>
      <c r="K12" s="7"/>
      <c r="L12" s="7"/>
      <c r="M12" s="7"/>
      <c r="N12" s="7"/>
      <c r="O12" s="7"/>
      <c r="P12" s="7"/>
      <c r="Q12" s="7"/>
      <c r="R12" s="7"/>
      <c r="S12" s="7"/>
      <c r="V12" s="7"/>
      <c r="W12" s="7"/>
      <c r="X12" s="17"/>
      <c r="Y12" s="17"/>
      <c r="Z12" s="17"/>
    </row>
    <row r="13" spans="1:26" x14ac:dyDescent="0.25">
      <c r="A13" s="1" t="s">
        <v>10</v>
      </c>
      <c r="B13" s="4">
        <v>242</v>
      </c>
      <c r="C13" s="4">
        <v>472</v>
      </c>
      <c r="D13" s="4">
        <v>351</v>
      </c>
      <c r="E13" s="4">
        <v>82</v>
      </c>
      <c r="F13" s="4">
        <v>118</v>
      </c>
      <c r="G13" s="4">
        <v>735</v>
      </c>
      <c r="H13" s="7"/>
      <c r="I13" s="7"/>
      <c r="J13" s="7"/>
      <c r="K13" s="7"/>
      <c r="L13" s="1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17"/>
      <c r="Y13" s="17"/>
      <c r="Z13" s="17"/>
    </row>
    <row r="14" spans="1:26" x14ac:dyDescent="0.25">
      <c r="A14" s="1"/>
      <c r="B14" s="3"/>
      <c r="C14" s="3"/>
      <c r="D14" s="3"/>
      <c r="E14" s="3"/>
      <c r="F14" s="3"/>
      <c r="G14" s="3"/>
      <c r="H14" s="7"/>
      <c r="I14" s="17"/>
      <c r="J14" s="17"/>
      <c r="K14" s="17"/>
      <c r="N14" s="7"/>
      <c r="O14" s="7"/>
      <c r="P14" s="7"/>
      <c r="Q14" s="7"/>
      <c r="R14" s="7"/>
      <c r="S14" s="7"/>
      <c r="T14" s="7"/>
      <c r="U14" s="7"/>
      <c r="V14" s="7"/>
      <c r="W14" s="7"/>
      <c r="X14" s="17"/>
    </row>
    <row r="15" spans="1:26" x14ac:dyDescent="0.25">
      <c r="A15" s="1" t="s">
        <v>12</v>
      </c>
      <c r="B15" s="4">
        <v>8</v>
      </c>
      <c r="C15" s="4">
        <v>480</v>
      </c>
      <c r="D15" s="4">
        <v>72</v>
      </c>
      <c r="E15" s="4">
        <v>96</v>
      </c>
      <c r="F15" s="4">
        <v>225</v>
      </c>
      <c r="G15" s="4">
        <v>600</v>
      </c>
      <c r="H15" s="7"/>
      <c r="I15" s="7"/>
      <c r="J15" s="7"/>
      <c r="K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6" x14ac:dyDescent="0.25">
      <c r="I16" s="7"/>
      <c r="J16" s="7"/>
      <c r="K16" s="7"/>
    </row>
    <row r="17" spans="1:34" x14ac:dyDescent="0.25">
      <c r="I17" s="7"/>
      <c r="J17" s="7"/>
      <c r="K17" s="7"/>
    </row>
    <row r="19" spans="1:34" ht="13" x14ac:dyDescent="0.3">
      <c r="B19" s="2"/>
    </row>
    <row r="20" spans="1:34" ht="13" x14ac:dyDescent="0.3">
      <c r="I20" s="9" t="s">
        <v>7</v>
      </c>
      <c r="P20" s="2"/>
    </row>
    <row r="21" spans="1:34" ht="13" x14ac:dyDescent="0.3">
      <c r="A21" s="2" t="s">
        <v>0</v>
      </c>
      <c r="I21" s="9" t="s">
        <v>8</v>
      </c>
      <c r="L21" s="13"/>
      <c r="N21" s="66" t="s">
        <v>4</v>
      </c>
      <c r="O21" s="67"/>
    </row>
    <row r="22" spans="1:34" ht="15" x14ac:dyDescent="0.4">
      <c r="A22" s="17"/>
      <c r="D22" s="13" t="s">
        <v>15</v>
      </c>
      <c r="E22" s="13" t="s">
        <v>14</v>
      </c>
      <c r="F22" s="13" t="s">
        <v>13</v>
      </c>
      <c r="I22" s="3"/>
      <c r="J22" s="3">
        <v>1</v>
      </c>
      <c r="K22" s="3">
        <v>2</v>
      </c>
      <c r="L22" s="3">
        <v>3</v>
      </c>
      <c r="M22" s="3">
        <v>4</v>
      </c>
      <c r="N22" s="3">
        <v>5</v>
      </c>
      <c r="O22" s="3">
        <v>6</v>
      </c>
      <c r="P22" s="3">
        <v>7</v>
      </c>
      <c r="Q22" s="3">
        <v>8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</row>
    <row r="23" spans="1:34" x14ac:dyDescent="0.25">
      <c r="A23" s="21"/>
      <c r="B23" s="1" t="s">
        <v>5</v>
      </c>
      <c r="C23">
        <v>1</v>
      </c>
      <c r="D23" s="5">
        <v>1</v>
      </c>
      <c r="E23" s="5">
        <v>-2</v>
      </c>
      <c r="F23" s="5">
        <v>52</v>
      </c>
      <c r="I23" s="3">
        <v>1</v>
      </c>
      <c r="J23" s="5">
        <f t="array" ref="J23:Q30">dijk(D23:F33)</f>
        <v>0</v>
      </c>
      <c r="K23" s="5">
        <v>52</v>
      </c>
      <c r="L23" s="5">
        <v>54</v>
      </c>
      <c r="M23" s="5">
        <v>55</v>
      </c>
      <c r="N23" s="5">
        <v>122</v>
      </c>
      <c r="O23" s="5">
        <v>79</v>
      </c>
      <c r="P23" s="5">
        <v>124</v>
      </c>
      <c r="Q23" s="5">
        <v>184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</row>
    <row r="24" spans="1:34" x14ac:dyDescent="0.25">
      <c r="A24" s="17"/>
      <c r="C24">
        <v>2</v>
      </c>
      <c r="D24" s="5">
        <v>1</v>
      </c>
      <c r="E24" s="5">
        <v>-3</v>
      </c>
      <c r="F24" s="5">
        <v>54</v>
      </c>
      <c r="I24" s="3">
        <v>2</v>
      </c>
      <c r="J24" s="5">
        <v>52</v>
      </c>
      <c r="K24" s="5">
        <v>0</v>
      </c>
      <c r="L24" s="5">
        <v>30</v>
      </c>
      <c r="M24" s="5">
        <v>95</v>
      </c>
      <c r="N24" s="5">
        <v>70</v>
      </c>
      <c r="O24" s="5">
        <v>55</v>
      </c>
      <c r="P24" s="5">
        <v>100</v>
      </c>
      <c r="Q24" s="5">
        <v>150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</row>
    <row r="25" spans="1:34" x14ac:dyDescent="0.25">
      <c r="A25" s="17"/>
      <c r="C25">
        <v>3</v>
      </c>
      <c r="D25" s="5">
        <v>1</v>
      </c>
      <c r="E25" s="5">
        <v>-4</v>
      </c>
      <c r="F25" s="5">
        <v>55</v>
      </c>
      <c r="I25" s="3">
        <v>3</v>
      </c>
      <c r="J25" s="5">
        <v>54</v>
      </c>
      <c r="K25" s="5">
        <v>30</v>
      </c>
      <c r="L25" s="5">
        <v>0</v>
      </c>
      <c r="M25" s="5">
        <v>65</v>
      </c>
      <c r="N25" s="5">
        <v>100</v>
      </c>
      <c r="O25" s="5">
        <v>25</v>
      </c>
      <c r="P25" s="5">
        <v>70</v>
      </c>
      <c r="Q25" s="5">
        <v>130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</row>
    <row r="26" spans="1:34" x14ac:dyDescent="0.25">
      <c r="A26" s="17"/>
      <c r="C26">
        <v>4</v>
      </c>
      <c r="D26" s="5">
        <v>2</v>
      </c>
      <c r="E26" s="5">
        <v>-3</v>
      </c>
      <c r="F26" s="5">
        <v>30</v>
      </c>
      <c r="I26" s="3">
        <v>4</v>
      </c>
      <c r="J26" s="5">
        <v>55</v>
      </c>
      <c r="K26" s="5">
        <v>95</v>
      </c>
      <c r="L26" s="5">
        <v>65</v>
      </c>
      <c r="M26" s="5">
        <v>0</v>
      </c>
      <c r="N26" s="5">
        <v>120</v>
      </c>
      <c r="O26" s="5">
        <v>40</v>
      </c>
      <c r="P26" s="5">
        <v>85</v>
      </c>
      <c r="Q26" s="5">
        <v>145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</row>
    <row r="27" spans="1:34" x14ac:dyDescent="0.25">
      <c r="A27" s="17"/>
      <c r="C27">
        <v>5</v>
      </c>
      <c r="D27" s="5">
        <v>2</v>
      </c>
      <c r="E27" s="5">
        <v>-5</v>
      </c>
      <c r="F27" s="5">
        <v>70</v>
      </c>
      <c r="I27" s="3">
        <v>5</v>
      </c>
      <c r="J27" s="5">
        <v>122</v>
      </c>
      <c r="K27" s="5">
        <v>70</v>
      </c>
      <c r="L27" s="5">
        <v>100</v>
      </c>
      <c r="M27" s="5">
        <v>120</v>
      </c>
      <c r="N27" s="5">
        <v>0</v>
      </c>
      <c r="O27" s="5">
        <v>80</v>
      </c>
      <c r="P27" s="5">
        <v>35</v>
      </c>
      <c r="Q27" s="5">
        <v>80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</row>
    <row r="28" spans="1:34" x14ac:dyDescent="0.25">
      <c r="A28" s="17"/>
      <c r="C28">
        <v>6</v>
      </c>
      <c r="D28" s="5">
        <v>3</v>
      </c>
      <c r="E28" s="5">
        <v>-6</v>
      </c>
      <c r="F28" s="5">
        <v>25</v>
      </c>
      <c r="I28" s="3">
        <v>6</v>
      </c>
      <c r="J28" s="5">
        <v>79</v>
      </c>
      <c r="K28" s="5">
        <v>55</v>
      </c>
      <c r="L28" s="5">
        <v>25</v>
      </c>
      <c r="M28" s="5">
        <v>40</v>
      </c>
      <c r="N28" s="5">
        <v>80</v>
      </c>
      <c r="O28" s="5">
        <v>0</v>
      </c>
      <c r="P28" s="5">
        <v>45</v>
      </c>
      <c r="Q28" s="5">
        <v>105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</row>
    <row r="29" spans="1:34" x14ac:dyDescent="0.25">
      <c r="A29" s="17"/>
      <c r="C29">
        <v>7</v>
      </c>
      <c r="D29" s="5">
        <v>4</v>
      </c>
      <c r="E29" s="5">
        <v>-6</v>
      </c>
      <c r="F29" s="5">
        <v>40</v>
      </c>
      <c r="I29" s="3">
        <v>7</v>
      </c>
      <c r="J29" s="5">
        <v>124</v>
      </c>
      <c r="K29" s="5">
        <v>100</v>
      </c>
      <c r="L29" s="5">
        <v>70</v>
      </c>
      <c r="M29" s="5">
        <v>85</v>
      </c>
      <c r="N29" s="5">
        <v>35</v>
      </c>
      <c r="O29" s="5">
        <v>45</v>
      </c>
      <c r="P29" s="5">
        <v>0</v>
      </c>
      <c r="Q29" s="5">
        <v>60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</row>
    <row r="30" spans="1:34" x14ac:dyDescent="0.25">
      <c r="A30" s="17"/>
      <c r="C30">
        <v>8</v>
      </c>
      <c r="D30" s="5">
        <v>5</v>
      </c>
      <c r="E30" s="5">
        <v>-7</v>
      </c>
      <c r="F30" s="5">
        <v>35</v>
      </c>
      <c r="I30" s="3">
        <v>8</v>
      </c>
      <c r="J30" s="5">
        <v>184</v>
      </c>
      <c r="K30" s="5">
        <v>150</v>
      </c>
      <c r="L30" s="5">
        <v>130</v>
      </c>
      <c r="M30" s="5">
        <v>145</v>
      </c>
      <c r="N30" s="5">
        <v>80</v>
      </c>
      <c r="O30" s="5">
        <v>105</v>
      </c>
      <c r="P30" s="5">
        <v>60</v>
      </c>
      <c r="Q30" s="5">
        <v>0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</row>
    <row r="31" spans="1:34" x14ac:dyDescent="0.25">
      <c r="A31" s="17"/>
      <c r="C31">
        <v>9</v>
      </c>
      <c r="D31" s="5">
        <v>5</v>
      </c>
      <c r="E31" s="5">
        <v>-8</v>
      </c>
      <c r="F31" s="5">
        <v>80</v>
      </c>
      <c r="I31" s="7"/>
      <c r="J31" s="7"/>
      <c r="K31" s="7"/>
      <c r="L31" s="7"/>
      <c r="M31" s="7"/>
      <c r="N31" s="7"/>
      <c r="O31" s="7"/>
      <c r="P31" s="7"/>
      <c r="Q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17"/>
    </row>
    <row r="32" spans="1:34" x14ac:dyDescent="0.25">
      <c r="A32" s="17"/>
      <c r="C32">
        <v>10</v>
      </c>
      <c r="D32" s="5">
        <v>6</v>
      </c>
      <c r="E32" s="5">
        <v>-7</v>
      </c>
      <c r="F32" s="5">
        <v>45</v>
      </c>
      <c r="I32" s="7"/>
      <c r="J32" s="7"/>
      <c r="K32" s="7"/>
      <c r="L32" s="7"/>
      <c r="M32" s="7"/>
      <c r="N32" s="7"/>
      <c r="O32" s="7"/>
      <c r="P32" s="7"/>
      <c r="Q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17"/>
    </row>
    <row r="33" spans="1:34" x14ac:dyDescent="0.25">
      <c r="A33" s="17"/>
      <c r="C33">
        <v>11</v>
      </c>
      <c r="D33" s="5">
        <v>7</v>
      </c>
      <c r="E33" s="5">
        <v>-8</v>
      </c>
      <c r="F33" s="5">
        <v>60</v>
      </c>
      <c r="I33" s="7"/>
      <c r="J33" s="7"/>
      <c r="K33" s="7"/>
      <c r="L33" s="7"/>
      <c r="M33" s="7"/>
      <c r="N33" s="7"/>
      <c r="O33" s="7"/>
      <c r="P33" s="7"/>
      <c r="Q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17"/>
    </row>
    <row r="34" spans="1:34" x14ac:dyDescent="0.25">
      <c r="A34" s="17"/>
      <c r="C34" s="17"/>
      <c r="D34" s="7"/>
      <c r="E34" s="7"/>
      <c r="F34" s="7"/>
      <c r="G34" s="17"/>
      <c r="I34" s="7"/>
      <c r="J34" s="7"/>
      <c r="K34" s="7"/>
      <c r="L34" s="7"/>
      <c r="M34" s="7"/>
      <c r="N34" s="7"/>
      <c r="O34" s="7"/>
      <c r="P34" s="7"/>
      <c r="Q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17"/>
    </row>
    <row r="35" spans="1:34" x14ac:dyDescent="0.25">
      <c r="A35" s="17"/>
      <c r="C35" s="17"/>
      <c r="D35" s="7"/>
      <c r="E35" s="7"/>
      <c r="F35" s="7"/>
      <c r="G35" s="1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17"/>
    </row>
    <row r="36" spans="1:34" ht="13" x14ac:dyDescent="0.3">
      <c r="A36" s="2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17"/>
    </row>
    <row r="37" spans="1:34" x14ac:dyDescent="0.25">
      <c r="A37" s="1"/>
      <c r="J37" s="14" t="s">
        <v>2</v>
      </c>
      <c r="K37" s="17"/>
      <c r="L37" s="1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17"/>
    </row>
    <row r="38" spans="1:34" ht="13" x14ac:dyDescent="0.3">
      <c r="B38" s="6">
        <f t="array" ref="B38:J52">sdpi(L4:S11,J23:Q30)</f>
        <v>1</v>
      </c>
      <c r="C38" s="6">
        <v>7</v>
      </c>
      <c r="D38" s="6">
        <v>6</v>
      </c>
      <c r="E38" s="6">
        <v>2</v>
      </c>
      <c r="F38" s="6">
        <v>5</v>
      </c>
      <c r="G38" s="6">
        <v>4</v>
      </c>
      <c r="H38" s="6">
        <v>3</v>
      </c>
      <c r="I38" s="6">
        <v>8</v>
      </c>
      <c r="J38" s="15">
        <v>144189558</v>
      </c>
      <c r="K38" s="17"/>
      <c r="L38" s="17"/>
      <c r="N38" s="2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17"/>
    </row>
    <row r="39" spans="1:34" x14ac:dyDescent="0.25">
      <c r="A39" s="14" t="s">
        <v>20</v>
      </c>
      <c r="B39" s="27">
        <v>1</v>
      </c>
      <c r="C39" s="27">
        <v>3</v>
      </c>
      <c r="D39" s="27">
        <v>4</v>
      </c>
      <c r="E39" s="27">
        <v>7</v>
      </c>
      <c r="F39" s="27">
        <v>5</v>
      </c>
      <c r="G39" s="27">
        <v>6</v>
      </c>
      <c r="H39" s="27">
        <v>2</v>
      </c>
      <c r="I39" s="27">
        <v>8</v>
      </c>
      <c r="J39" s="15">
        <v>154302420</v>
      </c>
      <c r="K39" s="17"/>
      <c r="L39" s="1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17"/>
    </row>
    <row r="40" spans="1:34" x14ac:dyDescent="0.25">
      <c r="A40" s="14" t="s">
        <v>19</v>
      </c>
      <c r="B40" s="28">
        <v>1</v>
      </c>
      <c r="C40" s="28">
        <v>7</v>
      </c>
      <c r="D40" s="28">
        <v>6</v>
      </c>
      <c r="E40" s="28">
        <v>2</v>
      </c>
      <c r="F40" s="28">
        <v>5</v>
      </c>
      <c r="G40" s="28">
        <v>4</v>
      </c>
      <c r="H40" s="28">
        <v>3</v>
      </c>
      <c r="I40" s="28">
        <v>8</v>
      </c>
      <c r="J40" s="28">
        <v>144189558</v>
      </c>
      <c r="K40" s="17"/>
      <c r="L40" s="1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17"/>
    </row>
    <row r="41" spans="1:34" x14ac:dyDescent="0.25">
      <c r="B41" s="6">
        <v>5</v>
      </c>
      <c r="C41" s="6">
        <v>3</v>
      </c>
      <c r="D41" s="6">
        <v>1</v>
      </c>
      <c r="E41" s="6">
        <v>8</v>
      </c>
      <c r="F41" s="6">
        <v>4</v>
      </c>
      <c r="G41" s="6">
        <v>7</v>
      </c>
      <c r="H41" s="6">
        <v>6</v>
      </c>
      <c r="I41" s="6">
        <v>2</v>
      </c>
      <c r="J41" s="15">
        <v>170610330</v>
      </c>
      <c r="K41" s="17"/>
      <c r="L41" s="1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17"/>
    </row>
    <row r="42" spans="1:34" x14ac:dyDescent="0.25">
      <c r="B42" s="6">
        <v>8</v>
      </c>
      <c r="C42" s="6">
        <v>3</v>
      </c>
      <c r="D42" s="6">
        <v>5</v>
      </c>
      <c r="E42" s="6">
        <v>1</v>
      </c>
      <c r="F42" s="6">
        <v>4</v>
      </c>
      <c r="G42" s="6">
        <v>7</v>
      </c>
      <c r="H42" s="6">
        <v>6</v>
      </c>
      <c r="I42" s="6">
        <v>2</v>
      </c>
      <c r="J42" s="15">
        <v>162958598</v>
      </c>
      <c r="K42" s="17"/>
      <c r="L42" s="1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17"/>
    </row>
    <row r="43" spans="1:34" x14ac:dyDescent="0.25">
      <c r="B43" s="6">
        <v>8</v>
      </c>
      <c r="C43" s="6">
        <v>1</v>
      </c>
      <c r="D43" s="6">
        <v>7</v>
      </c>
      <c r="E43" s="6">
        <v>5</v>
      </c>
      <c r="F43" s="6">
        <v>4</v>
      </c>
      <c r="G43" s="6">
        <v>3</v>
      </c>
      <c r="H43" s="6">
        <v>6</v>
      </c>
      <c r="I43" s="6">
        <v>2</v>
      </c>
      <c r="J43" s="15">
        <v>172371446</v>
      </c>
      <c r="K43" s="17"/>
      <c r="L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</row>
    <row r="44" spans="1:34" x14ac:dyDescent="0.25">
      <c r="B44" s="6">
        <v>1</v>
      </c>
      <c r="C44" s="6">
        <v>3</v>
      </c>
      <c r="D44" s="6">
        <v>4</v>
      </c>
      <c r="E44" s="6">
        <v>7</v>
      </c>
      <c r="F44" s="6">
        <v>5</v>
      </c>
      <c r="G44" s="6">
        <v>6</v>
      </c>
      <c r="H44" s="6">
        <v>2</v>
      </c>
      <c r="I44" s="6">
        <v>8</v>
      </c>
      <c r="J44" s="15">
        <v>154302420</v>
      </c>
      <c r="K44" s="17"/>
      <c r="L44" s="17"/>
    </row>
    <row r="45" spans="1:34" ht="13" x14ac:dyDescent="0.3">
      <c r="B45" s="6">
        <v>1</v>
      </c>
      <c r="C45" s="6">
        <v>3</v>
      </c>
      <c r="D45" s="6">
        <v>4</v>
      </c>
      <c r="E45" s="6">
        <v>7</v>
      </c>
      <c r="F45" s="6">
        <v>5</v>
      </c>
      <c r="G45" s="6">
        <v>6</v>
      </c>
      <c r="H45" s="6">
        <v>2</v>
      </c>
      <c r="I45" s="6">
        <v>8</v>
      </c>
      <c r="J45" s="15">
        <v>154302420</v>
      </c>
      <c r="K45" s="17"/>
      <c r="L45" s="25"/>
      <c r="M45" s="24"/>
      <c r="N45" s="24"/>
      <c r="O45" s="24"/>
      <c r="P45" s="24"/>
      <c r="Q45" s="24"/>
      <c r="R45" s="24"/>
      <c r="S45" s="24"/>
      <c r="T45" s="24"/>
      <c r="U45" s="24"/>
    </row>
    <row r="46" spans="1:34" ht="13" x14ac:dyDescent="0.3">
      <c r="B46" s="6">
        <v>1</v>
      </c>
      <c r="C46" s="6">
        <v>7</v>
      </c>
      <c r="D46" s="6">
        <v>6</v>
      </c>
      <c r="E46" s="6">
        <v>2</v>
      </c>
      <c r="F46" s="6">
        <v>5</v>
      </c>
      <c r="G46" s="6">
        <v>4</v>
      </c>
      <c r="H46" s="6">
        <v>3</v>
      </c>
      <c r="I46" s="6">
        <v>8</v>
      </c>
      <c r="J46" s="15">
        <v>144189558</v>
      </c>
      <c r="K46" s="17"/>
      <c r="L46" s="25"/>
      <c r="M46" s="24"/>
      <c r="N46" s="24"/>
      <c r="O46" s="24"/>
      <c r="P46" s="24"/>
      <c r="Q46" s="24"/>
      <c r="R46" s="24"/>
      <c r="S46" s="24"/>
      <c r="T46" s="24"/>
      <c r="U46" s="26"/>
    </row>
    <row r="47" spans="1:34" x14ac:dyDescent="0.25">
      <c r="B47" s="6">
        <v>3</v>
      </c>
      <c r="C47" s="6">
        <v>4</v>
      </c>
      <c r="D47" s="6">
        <v>6</v>
      </c>
      <c r="E47" s="6">
        <v>5</v>
      </c>
      <c r="F47" s="6">
        <v>2</v>
      </c>
      <c r="G47" s="6">
        <v>7</v>
      </c>
      <c r="H47" s="6">
        <v>1</v>
      </c>
      <c r="I47" s="6">
        <v>8</v>
      </c>
      <c r="J47" s="15">
        <v>153980980</v>
      </c>
      <c r="K47" s="17"/>
      <c r="L47" s="17"/>
    </row>
    <row r="48" spans="1:34" x14ac:dyDescent="0.25">
      <c r="B48" s="27">
        <v>8</v>
      </c>
      <c r="C48" s="27">
        <v>1</v>
      </c>
      <c r="D48" s="27">
        <v>4</v>
      </c>
      <c r="E48" s="27">
        <v>2</v>
      </c>
      <c r="F48" s="27">
        <v>3</v>
      </c>
      <c r="G48" s="27">
        <v>6</v>
      </c>
      <c r="H48" s="27">
        <v>7</v>
      </c>
      <c r="I48" s="27">
        <v>5</v>
      </c>
      <c r="J48" s="15">
        <v>171492284</v>
      </c>
      <c r="K48" s="17"/>
      <c r="L48" s="17"/>
    </row>
    <row r="49" spans="1:17" x14ac:dyDescent="0.25">
      <c r="B49" s="6">
        <v>5</v>
      </c>
      <c r="C49" s="6">
        <v>7</v>
      </c>
      <c r="D49" s="6">
        <v>3</v>
      </c>
      <c r="E49" s="6">
        <v>8</v>
      </c>
      <c r="F49" s="6">
        <v>6</v>
      </c>
      <c r="G49" s="6">
        <v>1</v>
      </c>
      <c r="H49" s="6">
        <v>4</v>
      </c>
      <c r="I49" s="6">
        <v>2</v>
      </c>
      <c r="J49" s="15">
        <v>170935392</v>
      </c>
      <c r="K49" s="17"/>
      <c r="L49" s="17"/>
    </row>
    <row r="50" spans="1:17" x14ac:dyDescent="0.25">
      <c r="B50" s="6">
        <v>5</v>
      </c>
      <c r="C50" s="6">
        <v>3</v>
      </c>
      <c r="D50" s="6">
        <v>4</v>
      </c>
      <c r="E50" s="6">
        <v>7</v>
      </c>
      <c r="F50" s="6">
        <v>8</v>
      </c>
      <c r="G50" s="6">
        <v>6</v>
      </c>
      <c r="H50" s="6">
        <v>1</v>
      </c>
      <c r="I50" s="6">
        <v>2</v>
      </c>
      <c r="J50" s="15">
        <v>154726426</v>
      </c>
      <c r="K50" s="17"/>
      <c r="L50" s="17"/>
    </row>
    <row r="51" spans="1:17" x14ac:dyDescent="0.25">
      <c r="B51" s="6">
        <v>1</v>
      </c>
      <c r="C51" s="6">
        <v>3</v>
      </c>
      <c r="D51" s="6">
        <v>4</v>
      </c>
      <c r="E51" s="6">
        <v>7</v>
      </c>
      <c r="F51" s="6">
        <v>5</v>
      </c>
      <c r="G51" s="6">
        <v>6</v>
      </c>
      <c r="H51" s="6">
        <v>2</v>
      </c>
      <c r="I51" s="6">
        <v>8</v>
      </c>
      <c r="J51" s="15">
        <v>154302420</v>
      </c>
      <c r="K51" s="17"/>
      <c r="L51" s="17"/>
    </row>
    <row r="52" spans="1:17" x14ac:dyDescent="0.25">
      <c r="B52" s="6">
        <v>5</v>
      </c>
      <c r="C52" s="6">
        <v>7</v>
      </c>
      <c r="D52" s="6">
        <v>3</v>
      </c>
      <c r="E52" s="6">
        <v>8</v>
      </c>
      <c r="F52" s="6">
        <v>6</v>
      </c>
      <c r="G52" s="6">
        <v>1</v>
      </c>
      <c r="H52" s="6">
        <v>4</v>
      </c>
      <c r="I52" s="6">
        <v>2</v>
      </c>
      <c r="J52" s="15">
        <v>170935392</v>
      </c>
      <c r="K52" s="17"/>
      <c r="L52" s="17"/>
    </row>
    <row r="53" spans="1:17" x14ac:dyDescent="0.25">
      <c r="A53" s="17"/>
      <c r="B53" s="17"/>
      <c r="C53" s="17"/>
      <c r="D53" s="17"/>
      <c r="E53" s="17"/>
      <c r="F53" s="17"/>
      <c r="G53" s="17"/>
      <c r="H53" s="17"/>
      <c r="I53" s="18"/>
      <c r="J53" s="17"/>
      <c r="K53" s="17"/>
      <c r="L53" s="17"/>
      <c r="M53" s="17"/>
      <c r="N53" s="17"/>
      <c r="O53" s="17"/>
      <c r="P53" s="17"/>
      <c r="Q53" s="17"/>
    </row>
    <row r="54" spans="1:17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</row>
    <row r="73" spans="1:14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</row>
    <row r="74" spans="1:14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</row>
    <row r="75" spans="1:14" x14ac:dyDescent="0.25">
      <c r="A75" s="21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</row>
    <row r="76" spans="1:14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</row>
    <row r="77" spans="1:14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</row>
    <row r="78" spans="1:14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</row>
    <row r="79" spans="1:14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</row>
    <row r="80" spans="1:14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</row>
  </sheetData>
  <mergeCells count="1">
    <mergeCell ref="N21:O21"/>
  </mergeCells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0C45F-9C9E-F84F-92EA-2A39040432DD}">
  <dimension ref="A1:AB28"/>
  <sheetViews>
    <sheetView zoomScale="115" zoomScaleNormal="115" workbookViewId="0">
      <selection activeCell="X8" sqref="X8"/>
    </sheetView>
  </sheetViews>
  <sheetFormatPr defaultColWidth="8.81640625" defaultRowHeight="12.5" x14ac:dyDescent="0.25"/>
  <cols>
    <col min="1" max="1" width="7.453125" customWidth="1"/>
    <col min="2" max="26" width="5.6328125" customWidth="1"/>
  </cols>
  <sheetData>
    <row r="1" spans="1:27" ht="13" x14ac:dyDescent="0.3">
      <c r="A1" s="2"/>
      <c r="F1" s="9" t="s">
        <v>8</v>
      </c>
      <c r="I1" s="13"/>
      <c r="K1" s="11" t="s">
        <v>4</v>
      </c>
      <c r="L1" s="12"/>
    </row>
    <row r="2" spans="1:27" ht="15.5" thickBot="1" x14ac:dyDescent="0.45">
      <c r="C2" s="13" t="s">
        <v>16</v>
      </c>
      <c r="D2" s="13" t="s">
        <v>17</v>
      </c>
      <c r="E2" s="13" t="s">
        <v>18</v>
      </c>
      <c r="F2" s="3"/>
      <c r="G2" s="3">
        <v>1</v>
      </c>
      <c r="H2" s="3">
        <v>2</v>
      </c>
      <c r="I2" s="3">
        <v>3</v>
      </c>
      <c r="J2" s="3">
        <v>4</v>
      </c>
      <c r="K2" s="3">
        <v>5</v>
      </c>
      <c r="L2" s="3">
        <v>6</v>
      </c>
      <c r="M2" s="3">
        <v>7</v>
      </c>
      <c r="N2" s="3">
        <v>8</v>
      </c>
      <c r="O2" s="3">
        <v>9</v>
      </c>
      <c r="P2" s="3">
        <v>10</v>
      </c>
      <c r="Q2" s="3">
        <v>11</v>
      </c>
      <c r="R2" s="3">
        <v>12</v>
      </c>
      <c r="S2" s="3">
        <v>13</v>
      </c>
      <c r="T2" s="3">
        <v>14</v>
      </c>
      <c r="U2" s="3">
        <v>15</v>
      </c>
      <c r="V2" s="3">
        <v>16</v>
      </c>
      <c r="W2" s="7"/>
      <c r="X2" s="7"/>
      <c r="Y2" s="7"/>
      <c r="Z2" s="7"/>
      <c r="AA2" s="17"/>
    </row>
    <row r="3" spans="1:27" x14ac:dyDescent="0.25">
      <c r="A3" s="1" t="s">
        <v>5</v>
      </c>
      <c r="B3">
        <v>1</v>
      </c>
      <c r="C3" s="5">
        <v>1</v>
      </c>
      <c r="D3" s="5">
        <v>-4</v>
      </c>
      <c r="E3" s="5">
        <v>42</v>
      </c>
      <c r="F3" s="3">
        <v>1</v>
      </c>
      <c r="G3" s="29">
        <f t="array" ref="G3:V18">dijk(C3:E21)</f>
        <v>0</v>
      </c>
      <c r="H3" s="30">
        <v>138</v>
      </c>
      <c r="I3" s="30">
        <v>99</v>
      </c>
      <c r="J3" s="30">
        <v>42</v>
      </c>
      <c r="K3" s="30">
        <v>63</v>
      </c>
      <c r="L3" s="30">
        <v>106</v>
      </c>
      <c r="M3" s="30">
        <v>43</v>
      </c>
      <c r="N3" s="30">
        <v>253</v>
      </c>
      <c r="O3" s="31">
        <v>182</v>
      </c>
      <c r="P3" s="32">
        <v>248</v>
      </c>
      <c r="Q3" s="19">
        <v>86</v>
      </c>
      <c r="R3" s="5">
        <v>56</v>
      </c>
      <c r="S3" s="5">
        <v>25</v>
      </c>
      <c r="T3" s="5">
        <v>126</v>
      </c>
      <c r="U3" s="5">
        <v>87</v>
      </c>
      <c r="V3" s="5">
        <v>260</v>
      </c>
      <c r="W3" s="7"/>
      <c r="X3" s="7"/>
      <c r="Y3" s="7"/>
      <c r="Z3" s="7"/>
      <c r="AA3" s="17"/>
    </row>
    <row r="4" spans="1:27" x14ac:dyDescent="0.25">
      <c r="B4">
        <v>2</v>
      </c>
      <c r="C4" s="5">
        <v>1</v>
      </c>
      <c r="D4" s="5">
        <v>-13</v>
      </c>
      <c r="E4" s="5">
        <v>25</v>
      </c>
      <c r="F4" s="3">
        <v>2</v>
      </c>
      <c r="G4" s="33">
        <v>138</v>
      </c>
      <c r="H4" s="34">
        <v>0</v>
      </c>
      <c r="I4" s="34">
        <v>65</v>
      </c>
      <c r="J4" s="34">
        <v>96</v>
      </c>
      <c r="K4" s="34">
        <v>94</v>
      </c>
      <c r="L4" s="34">
        <v>32</v>
      </c>
      <c r="M4" s="34">
        <v>149</v>
      </c>
      <c r="N4" s="34">
        <v>115</v>
      </c>
      <c r="O4" s="34">
        <v>44</v>
      </c>
      <c r="P4" s="35">
        <v>110</v>
      </c>
      <c r="Q4" s="19">
        <v>52</v>
      </c>
      <c r="R4" s="5">
        <v>82</v>
      </c>
      <c r="S4" s="5">
        <v>132</v>
      </c>
      <c r="T4" s="5">
        <v>12</v>
      </c>
      <c r="U4" s="5">
        <v>118</v>
      </c>
      <c r="V4" s="5">
        <v>122</v>
      </c>
      <c r="W4" s="7"/>
      <c r="X4" s="7"/>
      <c r="Y4" s="7"/>
      <c r="Z4" s="7"/>
      <c r="AA4" s="17"/>
    </row>
    <row r="5" spans="1:27" x14ac:dyDescent="0.25">
      <c r="B5">
        <v>3</v>
      </c>
      <c r="C5" s="5">
        <v>2</v>
      </c>
      <c r="D5" s="5">
        <v>-9</v>
      </c>
      <c r="E5" s="5">
        <v>44</v>
      </c>
      <c r="F5" s="3">
        <v>3</v>
      </c>
      <c r="G5" s="33">
        <v>99</v>
      </c>
      <c r="H5" s="34">
        <v>65</v>
      </c>
      <c r="I5" s="34">
        <v>0</v>
      </c>
      <c r="J5" s="34">
        <v>57</v>
      </c>
      <c r="K5" s="34">
        <v>55</v>
      </c>
      <c r="L5" s="34">
        <v>33</v>
      </c>
      <c r="M5" s="34">
        <v>111</v>
      </c>
      <c r="N5" s="34">
        <v>180</v>
      </c>
      <c r="O5" s="34">
        <v>109</v>
      </c>
      <c r="P5" s="35">
        <v>175</v>
      </c>
      <c r="Q5" s="19">
        <v>13</v>
      </c>
      <c r="R5" s="5">
        <v>43</v>
      </c>
      <c r="S5" s="5">
        <v>93</v>
      </c>
      <c r="T5" s="5">
        <v>53</v>
      </c>
      <c r="U5" s="5">
        <v>79</v>
      </c>
      <c r="V5" s="5">
        <v>187</v>
      </c>
      <c r="W5" s="7"/>
      <c r="X5" s="7"/>
      <c r="Y5" s="7"/>
      <c r="Z5" s="7"/>
      <c r="AA5" s="17"/>
    </row>
    <row r="6" spans="1:27" x14ac:dyDescent="0.25">
      <c r="B6">
        <v>4</v>
      </c>
      <c r="C6" s="5">
        <v>2</v>
      </c>
      <c r="D6" s="5">
        <v>-14</v>
      </c>
      <c r="E6" s="5">
        <v>12</v>
      </c>
      <c r="F6" s="3">
        <v>4</v>
      </c>
      <c r="G6" s="33">
        <v>42</v>
      </c>
      <c r="H6" s="34">
        <v>96</v>
      </c>
      <c r="I6" s="34">
        <v>57</v>
      </c>
      <c r="J6" s="34">
        <v>0</v>
      </c>
      <c r="K6" s="34">
        <v>26</v>
      </c>
      <c r="L6" s="34">
        <v>64</v>
      </c>
      <c r="M6" s="34">
        <v>82</v>
      </c>
      <c r="N6" s="34">
        <v>211</v>
      </c>
      <c r="O6" s="34">
        <v>140</v>
      </c>
      <c r="P6" s="35">
        <v>206</v>
      </c>
      <c r="Q6" s="19">
        <v>44</v>
      </c>
      <c r="R6" s="5">
        <v>14</v>
      </c>
      <c r="S6" s="5">
        <v>64</v>
      </c>
      <c r="T6" s="5">
        <v>84</v>
      </c>
      <c r="U6" s="5">
        <v>50</v>
      </c>
      <c r="V6" s="5">
        <v>218</v>
      </c>
      <c r="W6" s="7"/>
      <c r="X6" s="7"/>
      <c r="Y6" s="7"/>
      <c r="Z6" s="7"/>
      <c r="AA6" s="17"/>
    </row>
    <row r="7" spans="1:27" x14ac:dyDescent="0.25">
      <c r="B7">
        <v>5</v>
      </c>
      <c r="C7" s="5">
        <v>3</v>
      </c>
      <c r="D7" s="5">
        <v>-11</v>
      </c>
      <c r="E7" s="5">
        <v>13</v>
      </c>
      <c r="F7" s="3">
        <v>5</v>
      </c>
      <c r="G7" s="33">
        <v>63</v>
      </c>
      <c r="H7" s="34">
        <v>94</v>
      </c>
      <c r="I7" s="34">
        <v>55</v>
      </c>
      <c r="J7" s="34">
        <v>26</v>
      </c>
      <c r="K7" s="34">
        <v>0</v>
      </c>
      <c r="L7" s="34">
        <v>62</v>
      </c>
      <c r="M7" s="34">
        <v>56</v>
      </c>
      <c r="N7" s="34">
        <v>209</v>
      </c>
      <c r="O7" s="34">
        <v>138</v>
      </c>
      <c r="P7" s="35">
        <v>204</v>
      </c>
      <c r="Q7" s="19">
        <v>42</v>
      </c>
      <c r="R7" s="5">
        <v>12</v>
      </c>
      <c r="S7" s="5">
        <v>38</v>
      </c>
      <c r="T7" s="5">
        <v>82</v>
      </c>
      <c r="U7" s="5">
        <v>24</v>
      </c>
      <c r="V7" s="5">
        <v>216</v>
      </c>
      <c r="W7" s="7"/>
      <c r="X7" s="7"/>
      <c r="Y7" s="7"/>
      <c r="Z7" s="7"/>
      <c r="AA7" s="17"/>
    </row>
    <row r="8" spans="1:27" x14ac:dyDescent="0.25">
      <c r="B8">
        <v>6</v>
      </c>
      <c r="C8" s="5">
        <v>4</v>
      </c>
      <c r="D8" s="5">
        <v>-12</v>
      </c>
      <c r="E8" s="5">
        <v>14</v>
      </c>
      <c r="F8" s="3">
        <v>6</v>
      </c>
      <c r="G8" s="33">
        <v>106</v>
      </c>
      <c r="H8" s="34">
        <v>32</v>
      </c>
      <c r="I8" s="34">
        <v>33</v>
      </c>
      <c r="J8" s="34">
        <v>64</v>
      </c>
      <c r="K8" s="34">
        <v>62</v>
      </c>
      <c r="L8" s="34">
        <v>0</v>
      </c>
      <c r="M8" s="34">
        <v>118</v>
      </c>
      <c r="N8" s="34">
        <v>147</v>
      </c>
      <c r="O8" s="34">
        <v>76</v>
      </c>
      <c r="P8" s="35">
        <v>142</v>
      </c>
      <c r="Q8" s="19">
        <v>20</v>
      </c>
      <c r="R8" s="5">
        <v>50</v>
      </c>
      <c r="S8" s="5">
        <v>100</v>
      </c>
      <c r="T8" s="5">
        <v>20</v>
      </c>
      <c r="U8" s="5">
        <v>86</v>
      </c>
      <c r="V8" s="5">
        <v>154</v>
      </c>
      <c r="W8" s="7"/>
      <c r="X8" s="7"/>
      <c r="Y8" s="7"/>
      <c r="Z8" s="7"/>
      <c r="AA8" s="17"/>
    </row>
    <row r="9" spans="1:27" x14ac:dyDescent="0.25">
      <c r="B9">
        <v>7</v>
      </c>
      <c r="C9" s="5">
        <v>5</v>
      </c>
      <c r="D9" s="5">
        <v>-12</v>
      </c>
      <c r="E9" s="5">
        <v>12</v>
      </c>
      <c r="F9" s="3">
        <v>7</v>
      </c>
      <c r="G9" s="33">
        <v>43</v>
      </c>
      <c r="H9" s="34">
        <v>150</v>
      </c>
      <c r="I9" s="34">
        <v>111</v>
      </c>
      <c r="J9" s="34">
        <v>82</v>
      </c>
      <c r="K9" s="34">
        <v>56</v>
      </c>
      <c r="L9" s="34">
        <v>118</v>
      </c>
      <c r="M9" s="34">
        <v>0</v>
      </c>
      <c r="N9" s="34">
        <v>265</v>
      </c>
      <c r="O9" s="34">
        <v>194</v>
      </c>
      <c r="P9" s="35">
        <v>260</v>
      </c>
      <c r="Q9" s="19">
        <v>98</v>
      </c>
      <c r="R9" s="5">
        <v>68</v>
      </c>
      <c r="S9" s="5">
        <v>18</v>
      </c>
      <c r="T9" s="5">
        <v>138</v>
      </c>
      <c r="U9" s="5">
        <v>80</v>
      </c>
      <c r="V9" s="5">
        <v>272</v>
      </c>
      <c r="W9" s="7"/>
      <c r="X9" s="7"/>
      <c r="Y9" s="7"/>
      <c r="Z9" s="7"/>
      <c r="AA9" s="17"/>
    </row>
    <row r="10" spans="1:27" x14ac:dyDescent="0.25">
      <c r="B10">
        <v>8</v>
      </c>
      <c r="C10" s="5">
        <v>5</v>
      </c>
      <c r="D10" s="5">
        <v>-13</v>
      </c>
      <c r="E10" s="5">
        <v>38</v>
      </c>
      <c r="F10" s="3">
        <v>8</v>
      </c>
      <c r="G10" s="33">
        <v>77</v>
      </c>
      <c r="H10" s="34">
        <v>115</v>
      </c>
      <c r="I10" s="34">
        <v>145</v>
      </c>
      <c r="J10" s="34">
        <v>116</v>
      </c>
      <c r="K10" s="34">
        <v>90</v>
      </c>
      <c r="L10" s="34">
        <v>147</v>
      </c>
      <c r="M10" s="34">
        <v>34</v>
      </c>
      <c r="N10" s="34">
        <v>0</v>
      </c>
      <c r="O10" s="34">
        <v>71</v>
      </c>
      <c r="P10" s="35">
        <v>71</v>
      </c>
      <c r="Q10" s="19">
        <v>132</v>
      </c>
      <c r="R10" s="5">
        <v>102</v>
      </c>
      <c r="S10" s="5">
        <v>52</v>
      </c>
      <c r="T10" s="5">
        <v>127</v>
      </c>
      <c r="U10" s="5">
        <v>114</v>
      </c>
      <c r="V10" s="5">
        <v>83</v>
      </c>
      <c r="W10" s="7"/>
      <c r="X10" s="7"/>
      <c r="Y10" s="7"/>
      <c r="Z10" s="7"/>
      <c r="AA10" s="17"/>
    </row>
    <row r="11" spans="1:27" x14ac:dyDescent="0.25">
      <c r="B11">
        <v>9</v>
      </c>
      <c r="C11" s="5">
        <v>5</v>
      </c>
      <c r="D11" s="5">
        <v>-15</v>
      </c>
      <c r="E11" s="5">
        <v>24</v>
      </c>
      <c r="F11" s="3">
        <v>9</v>
      </c>
      <c r="G11" s="33">
        <v>148</v>
      </c>
      <c r="H11" s="34">
        <v>44</v>
      </c>
      <c r="I11" s="34">
        <v>109</v>
      </c>
      <c r="J11" s="34">
        <v>140</v>
      </c>
      <c r="K11" s="34">
        <v>138</v>
      </c>
      <c r="L11" s="34">
        <v>76</v>
      </c>
      <c r="M11" s="34">
        <v>105</v>
      </c>
      <c r="N11" s="34">
        <v>71</v>
      </c>
      <c r="O11" s="34">
        <v>0</v>
      </c>
      <c r="P11" s="35">
        <v>66</v>
      </c>
      <c r="Q11" s="19">
        <v>96</v>
      </c>
      <c r="R11" s="5">
        <v>126</v>
      </c>
      <c r="S11" s="5">
        <v>123</v>
      </c>
      <c r="T11" s="5">
        <v>56</v>
      </c>
      <c r="U11" s="5">
        <v>162</v>
      </c>
      <c r="V11" s="5">
        <v>78</v>
      </c>
      <c r="W11" s="7"/>
      <c r="X11" s="7"/>
      <c r="Y11" s="7"/>
      <c r="Z11" s="7"/>
      <c r="AA11" s="17"/>
    </row>
    <row r="12" spans="1:27" ht="13" thickBot="1" x14ac:dyDescent="0.3">
      <c r="B12">
        <v>10</v>
      </c>
      <c r="C12" s="5">
        <v>6</v>
      </c>
      <c r="D12" s="5">
        <v>-11</v>
      </c>
      <c r="E12" s="5">
        <v>20</v>
      </c>
      <c r="F12" s="3">
        <v>10</v>
      </c>
      <c r="G12" s="36">
        <v>148</v>
      </c>
      <c r="H12" s="37">
        <v>110</v>
      </c>
      <c r="I12" s="37">
        <v>175</v>
      </c>
      <c r="J12" s="37">
        <v>187</v>
      </c>
      <c r="K12" s="37">
        <v>161</v>
      </c>
      <c r="L12" s="37">
        <v>142</v>
      </c>
      <c r="M12" s="37">
        <v>105</v>
      </c>
      <c r="N12" s="37">
        <v>71</v>
      </c>
      <c r="O12" s="37">
        <v>66</v>
      </c>
      <c r="P12" s="38">
        <v>0</v>
      </c>
      <c r="Q12" s="19">
        <v>162</v>
      </c>
      <c r="R12" s="5">
        <v>173</v>
      </c>
      <c r="S12" s="5">
        <v>123</v>
      </c>
      <c r="T12" s="5">
        <v>122</v>
      </c>
      <c r="U12" s="5">
        <v>185</v>
      </c>
      <c r="V12" s="5">
        <v>12</v>
      </c>
      <c r="W12" s="7"/>
      <c r="X12" s="7"/>
      <c r="Y12" s="7"/>
      <c r="Z12" s="7"/>
      <c r="AA12" s="17"/>
    </row>
    <row r="13" spans="1:27" x14ac:dyDescent="0.25">
      <c r="B13">
        <v>11</v>
      </c>
      <c r="C13" s="5">
        <v>6</v>
      </c>
      <c r="D13" s="5">
        <v>-14</v>
      </c>
      <c r="E13" s="5">
        <v>20</v>
      </c>
      <c r="F13" s="3">
        <v>11</v>
      </c>
      <c r="G13" s="20">
        <v>86</v>
      </c>
      <c r="H13" s="20">
        <v>52</v>
      </c>
      <c r="I13" s="20">
        <v>13</v>
      </c>
      <c r="J13" s="20">
        <v>44</v>
      </c>
      <c r="K13" s="20">
        <v>42</v>
      </c>
      <c r="L13" s="20">
        <v>20</v>
      </c>
      <c r="M13" s="20">
        <v>98</v>
      </c>
      <c r="N13" s="20">
        <v>167</v>
      </c>
      <c r="O13" s="20">
        <v>96</v>
      </c>
      <c r="P13" s="20">
        <v>162</v>
      </c>
      <c r="Q13" s="5">
        <v>0</v>
      </c>
      <c r="R13" s="5">
        <v>30</v>
      </c>
      <c r="S13" s="5">
        <v>80</v>
      </c>
      <c r="T13" s="5">
        <v>40</v>
      </c>
      <c r="U13" s="5">
        <v>66</v>
      </c>
      <c r="V13" s="5">
        <v>174</v>
      </c>
      <c r="W13" s="7"/>
      <c r="X13" s="7"/>
      <c r="Y13" s="7"/>
      <c r="Z13" s="7"/>
      <c r="AA13" s="17"/>
    </row>
    <row r="14" spans="1:27" x14ac:dyDescent="0.25">
      <c r="B14">
        <v>12</v>
      </c>
      <c r="C14" s="5">
        <v>7</v>
      </c>
      <c r="D14" s="5">
        <v>-13</v>
      </c>
      <c r="E14" s="5">
        <v>18</v>
      </c>
      <c r="F14" s="3">
        <v>12</v>
      </c>
      <c r="G14" s="5">
        <v>56</v>
      </c>
      <c r="H14" s="5">
        <v>82</v>
      </c>
      <c r="I14" s="5">
        <v>43</v>
      </c>
      <c r="J14" s="5">
        <v>14</v>
      </c>
      <c r="K14" s="5">
        <v>12</v>
      </c>
      <c r="L14" s="5">
        <v>50</v>
      </c>
      <c r="M14" s="5">
        <v>68</v>
      </c>
      <c r="N14" s="5">
        <v>197</v>
      </c>
      <c r="O14" s="5">
        <v>126</v>
      </c>
      <c r="P14" s="5">
        <v>192</v>
      </c>
      <c r="Q14" s="5">
        <v>30</v>
      </c>
      <c r="R14" s="5">
        <v>0</v>
      </c>
      <c r="S14" s="5">
        <v>50</v>
      </c>
      <c r="T14" s="5">
        <v>70</v>
      </c>
      <c r="U14" s="5">
        <v>36</v>
      </c>
      <c r="V14" s="5">
        <v>204</v>
      </c>
      <c r="W14" s="7"/>
      <c r="X14" s="7"/>
      <c r="Y14" s="7"/>
      <c r="Z14" s="7"/>
      <c r="AA14" s="17"/>
    </row>
    <row r="15" spans="1:27" x14ac:dyDescent="0.25">
      <c r="B15">
        <v>13</v>
      </c>
      <c r="C15" s="5">
        <v>7</v>
      </c>
      <c r="D15" s="5">
        <v>-17</v>
      </c>
      <c r="E15" s="5">
        <v>16</v>
      </c>
      <c r="F15" s="3">
        <v>13</v>
      </c>
      <c r="G15" s="5">
        <v>25</v>
      </c>
      <c r="H15" s="5">
        <v>132</v>
      </c>
      <c r="I15" s="5">
        <v>93</v>
      </c>
      <c r="J15" s="5">
        <v>64</v>
      </c>
      <c r="K15" s="5">
        <v>38</v>
      </c>
      <c r="L15" s="5">
        <v>100</v>
      </c>
      <c r="M15" s="5">
        <v>18</v>
      </c>
      <c r="N15" s="5">
        <v>247</v>
      </c>
      <c r="O15" s="5">
        <v>176</v>
      </c>
      <c r="P15" s="5">
        <v>242</v>
      </c>
      <c r="Q15" s="5">
        <v>80</v>
      </c>
      <c r="R15" s="5">
        <v>50</v>
      </c>
      <c r="S15" s="5">
        <v>0</v>
      </c>
      <c r="T15" s="5">
        <v>120</v>
      </c>
      <c r="U15" s="5">
        <v>62</v>
      </c>
      <c r="V15" s="5">
        <v>254</v>
      </c>
      <c r="W15" s="7"/>
      <c r="X15" s="7"/>
      <c r="Y15" s="7"/>
      <c r="Z15" s="7"/>
      <c r="AA15" s="17"/>
    </row>
    <row r="16" spans="1:27" x14ac:dyDescent="0.25">
      <c r="B16">
        <v>14</v>
      </c>
      <c r="C16" s="5">
        <v>8</v>
      </c>
      <c r="D16" s="5">
        <v>17</v>
      </c>
      <c r="E16" s="5">
        <v>18</v>
      </c>
      <c r="F16" s="3">
        <v>14</v>
      </c>
      <c r="G16" s="5">
        <v>126</v>
      </c>
      <c r="H16" s="5">
        <v>12</v>
      </c>
      <c r="I16" s="5">
        <v>53</v>
      </c>
      <c r="J16" s="5">
        <v>84</v>
      </c>
      <c r="K16" s="5">
        <v>82</v>
      </c>
      <c r="L16" s="5">
        <v>20</v>
      </c>
      <c r="M16" s="5">
        <v>138</v>
      </c>
      <c r="N16" s="5">
        <v>127</v>
      </c>
      <c r="O16" s="5">
        <v>56</v>
      </c>
      <c r="P16" s="5">
        <v>122</v>
      </c>
      <c r="Q16" s="5">
        <v>40</v>
      </c>
      <c r="R16" s="5">
        <v>70</v>
      </c>
      <c r="S16" s="5">
        <v>120</v>
      </c>
      <c r="T16" s="5">
        <v>0</v>
      </c>
      <c r="U16" s="5">
        <v>106</v>
      </c>
      <c r="V16" s="5">
        <v>134</v>
      </c>
      <c r="W16" s="7"/>
      <c r="X16" s="7"/>
      <c r="Y16" s="7"/>
      <c r="Z16" s="7"/>
      <c r="AA16" s="17"/>
    </row>
    <row r="17" spans="2:28" x14ac:dyDescent="0.25">
      <c r="B17">
        <v>15</v>
      </c>
      <c r="C17" s="5">
        <v>8</v>
      </c>
      <c r="D17" s="5">
        <v>-18</v>
      </c>
      <c r="E17" s="5">
        <v>38</v>
      </c>
      <c r="F17" s="3">
        <v>15</v>
      </c>
      <c r="G17" s="5">
        <v>87</v>
      </c>
      <c r="H17" s="5">
        <v>118</v>
      </c>
      <c r="I17" s="5">
        <v>79</v>
      </c>
      <c r="J17" s="5">
        <v>50</v>
      </c>
      <c r="K17" s="5">
        <v>24</v>
      </c>
      <c r="L17" s="5">
        <v>86</v>
      </c>
      <c r="M17" s="5">
        <v>80</v>
      </c>
      <c r="N17" s="5">
        <v>233</v>
      </c>
      <c r="O17" s="5">
        <v>162</v>
      </c>
      <c r="P17" s="5">
        <v>228</v>
      </c>
      <c r="Q17" s="5">
        <v>66</v>
      </c>
      <c r="R17" s="5">
        <v>36</v>
      </c>
      <c r="S17" s="5">
        <v>62</v>
      </c>
      <c r="T17" s="5">
        <v>106</v>
      </c>
      <c r="U17" s="5">
        <v>0</v>
      </c>
      <c r="V17" s="5">
        <v>240</v>
      </c>
      <c r="W17" s="7"/>
      <c r="X17" s="7"/>
      <c r="Y17" s="7"/>
      <c r="Z17" s="7"/>
      <c r="AA17" s="17"/>
    </row>
    <row r="18" spans="2:28" x14ac:dyDescent="0.25">
      <c r="B18">
        <v>16</v>
      </c>
      <c r="C18" s="5">
        <v>9</v>
      </c>
      <c r="D18" s="5">
        <v>-18</v>
      </c>
      <c r="E18" s="5">
        <v>33</v>
      </c>
      <c r="F18" s="3">
        <v>16</v>
      </c>
      <c r="G18" s="5">
        <v>160</v>
      </c>
      <c r="H18" s="5">
        <v>122</v>
      </c>
      <c r="I18" s="5">
        <v>187</v>
      </c>
      <c r="J18" s="5">
        <v>199</v>
      </c>
      <c r="K18" s="5">
        <v>173</v>
      </c>
      <c r="L18" s="5">
        <v>154</v>
      </c>
      <c r="M18" s="5">
        <v>117</v>
      </c>
      <c r="N18" s="5">
        <v>83</v>
      </c>
      <c r="O18" s="5">
        <v>78</v>
      </c>
      <c r="P18" s="5">
        <v>12</v>
      </c>
      <c r="Q18" s="5">
        <v>174</v>
      </c>
      <c r="R18" s="5">
        <v>185</v>
      </c>
      <c r="S18" s="5">
        <v>135</v>
      </c>
      <c r="T18" s="5">
        <v>134</v>
      </c>
      <c r="U18" s="5">
        <v>197</v>
      </c>
      <c r="V18" s="5">
        <v>0</v>
      </c>
      <c r="W18" s="7"/>
      <c r="X18" s="7"/>
      <c r="Y18" s="7"/>
      <c r="Z18" s="7"/>
      <c r="AA18" s="17"/>
    </row>
    <row r="19" spans="2:28" x14ac:dyDescent="0.25">
      <c r="B19">
        <v>17</v>
      </c>
      <c r="C19" s="5">
        <v>10</v>
      </c>
      <c r="D19" s="5">
        <v>-16</v>
      </c>
      <c r="E19" s="5">
        <v>12</v>
      </c>
      <c r="F19" s="3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17"/>
      <c r="AB19" s="17"/>
    </row>
    <row r="20" spans="2:28" x14ac:dyDescent="0.25">
      <c r="B20">
        <v>18</v>
      </c>
      <c r="C20" s="5">
        <v>10</v>
      </c>
      <c r="D20" s="5">
        <v>-18</v>
      </c>
      <c r="E20" s="5">
        <v>33</v>
      </c>
      <c r="F20" s="3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17"/>
      <c r="AB20" s="17"/>
    </row>
    <row r="21" spans="2:28" x14ac:dyDescent="0.25">
      <c r="B21">
        <v>19</v>
      </c>
      <c r="C21" s="5">
        <v>11</v>
      </c>
      <c r="D21" s="5">
        <v>-12</v>
      </c>
      <c r="E21" s="5">
        <v>30</v>
      </c>
      <c r="F21" s="3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17"/>
      <c r="AB21" s="17"/>
    </row>
    <row r="22" spans="2:28" x14ac:dyDescent="0.25">
      <c r="B22" s="16"/>
      <c r="C22" s="5">
        <v>14</v>
      </c>
      <c r="D22" s="5">
        <v>-15</v>
      </c>
      <c r="E22" s="5">
        <v>20</v>
      </c>
      <c r="F22" s="3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17"/>
      <c r="AB22" s="17"/>
    </row>
    <row r="23" spans="2:28" x14ac:dyDescent="0.25">
      <c r="B23" s="16"/>
      <c r="C23" s="5">
        <v>15</v>
      </c>
      <c r="D23" s="5">
        <v>-16</v>
      </c>
      <c r="E23" s="5">
        <v>10</v>
      </c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</row>
    <row r="24" spans="2:28" x14ac:dyDescent="0.25">
      <c r="B24" s="16"/>
      <c r="C24" s="5">
        <v>16</v>
      </c>
      <c r="D24" s="5">
        <v>-17</v>
      </c>
      <c r="E24" s="5">
        <v>33</v>
      </c>
    </row>
    <row r="25" spans="2:28" x14ac:dyDescent="0.25">
      <c r="B25" s="16"/>
      <c r="C25" s="7"/>
      <c r="D25" s="7"/>
      <c r="E25" s="7"/>
    </row>
    <row r="26" spans="2:28" x14ac:dyDescent="0.25">
      <c r="B26" s="16"/>
      <c r="C26" s="7"/>
      <c r="D26" s="7"/>
      <c r="E26" s="7"/>
    </row>
    <row r="27" spans="2:28" x14ac:dyDescent="0.25">
      <c r="B27" s="16"/>
      <c r="C27" s="7"/>
      <c r="D27" s="7"/>
      <c r="E27" s="7"/>
    </row>
    <row r="28" spans="2:28" x14ac:dyDescent="0.25">
      <c r="B28" s="16"/>
      <c r="C28" s="16"/>
      <c r="D28" s="16"/>
      <c r="E28" s="1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Problem1</vt:lpstr>
      <vt:lpstr>Problem 2</vt:lpstr>
      <vt:lpstr>Problem 3</vt:lpstr>
      <vt:lpstr>Problem 4</vt:lpstr>
      <vt:lpstr>'Problem 3'!Dijk_Paths</vt:lpstr>
      <vt:lpstr>'Problem 3'!Distance_Matrix</vt:lpstr>
      <vt:lpstr>'Problem 3'!Part_Cost</vt:lpstr>
      <vt:lpstr>'Problem 3'!Part_Freq</vt:lpstr>
      <vt:lpstr>'Problem 3'!Part_Routes</vt:lpstr>
      <vt:lpstr>'Problem 3'!Weight_Matrix</vt:lpstr>
    </vt:vector>
  </TitlesOfParts>
  <Company>NC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Unity User</dc:creator>
  <cp:lastModifiedBy>Chengyu Zhou</cp:lastModifiedBy>
  <dcterms:created xsi:type="dcterms:W3CDTF">2007-01-24T16:27:27Z</dcterms:created>
  <dcterms:modified xsi:type="dcterms:W3CDTF">2020-04-20T21:19:03Z</dcterms:modified>
</cp:coreProperties>
</file>