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kay\Documents\Custom Office Templates\"/>
    </mc:Choice>
  </mc:AlternateContent>
  <bookViews>
    <workbookView xWindow="0" yWindow="0" windowWidth="28800" windowHeight="12300"/>
  </bookViews>
  <sheets>
    <sheet name="GC Locatio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" i="1" l="1"/>
  <c r="L5" i="1"/>
  <c r="M5" i="1" s="1"/>
  <c r="N5" i="1" s="1"/>
  <c r="O5" i="1" s="1"/>
  <c r="S5" i="1" s="1"/>
  <c r="F5" i="1"/>
  <c r="G5" i="1" s="1"/>
  <c r="R4" i="1"/>
  <c r="L4" i="1"/>
  <c r="M4" i="1" s="1"/>
  <c r="F4" i="1"/>
  <c r="G4" i="1" s="1"/>
  <c r="R3" i="1"/>
  <c r="L3" i="1"/>
  <c r="M3" i="1" s="1"/>
  <c r="N3" i="1" s="1"/>
  <c r="O3" i="1" s="1"/>
  <c r="S3" i="1" s="1"/>
  <c r="F3" i="1"/>
  <c r="G3" i="1" s="1"/>
  <c r="M2" i="1"/>
  <c r="G2" i="1"/>
  <c r="N4" i="1" l="1"/>
  <c r="O4" i="1" s="1"/>
  <c r="S4" i="1" s="1"/>
  <c r="S2" i="1" s="1"/>
</calcChain>
</file>

<file path=xl/sharedStrings.xml><?xml version="1.0" encoding="utf-8"?>
<sst xmlns="http://schemas.openxmlformats.org/spreadsheetml/2006/main" count="26" uniqueCount="21">
  <si>
    <t>dd</t>
  </si>
  <si>
    <t>mm</t>
  </si>
  <si>
    <t>ss</t>
  </si>
  <si>
    <r>
      <t>x</t>
    </r>
    <r>
      <rPr>
        <sz val="9"/>
        <rFont val="Arial"/>
        <family val="2"/>
      </rPr>
      <t xml:space="preserve"> (deg)</t>
    </r>
  </si>
  <si>
    <r>
      <t>x</t>
    </r>
    <r>
      <rPr>
        <sz val="9"/>
        <rFont val="Arial"/>
        <family val="2"/>
      </rPr>
      <t xml:space="preserve"> (rad)</t>
    </r>
  </si>
  <si>
    <r>
      <t>y</t>
    </r>
    <r>
      <rPr>
        <sz val="9"/>
        <rFont val="Arial"/>
        <family val="2"/>
      </rPr>
      <t xml:space="preserve"> (deg)</t>
    </r>
  </si>
  <si>
    <r>
      <t>y</t>
    </r>
    <r>
      <rPr>
        <sz val="9"/>
        <rFont val="Arial"/>
        <family val="2"/>
      </rPr>
      <t xml:space="preserve"> (rad)</t>
    </r>
  </si>
  <si>
    <r>
      <t>d</t>
    </r>
    <r>
      <rPr>
        <sz val="10"/>
        <rFont val="Arial"/>
        <family val="2"/>
      </rPr>
      <t>(rad)</t>
    </r>
  </si>
  <si>
    <r>
      <t>d</t>
    </r>
    <r>
      <rPr>
        <sz val="10"/>
        <rFont val="Arial"/>
        <family val="2"/>
      </rPr>
      <t xml:space="preserve"> (mi)</t>
    </r>
  </si>
  <si>
    <t>r</t>
  </si>
  <si>
    <t xml:space="preserve">w </t>
  </si>
  <si>
    <t xml:space="preserve">TC </t>
  </si>
  <si>
    <t>NF</t>
  </si>
  <si>
    <t>Gainesville</t>
  </si>
  <si>
    <t>W</t>
  </si>
  <si>
    <t>N</t>
  </si>
  <si>
    <t>Baghdad</t>
  </si>
  <si>
    <t>E</t>
  </si>
  <si>
    <t>Rio de Janeiro</t>
  </si>
  <si>
    <t>S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</si>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</sst>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11"/>
      </left>
      <right style="thick">
        <color indexed="11"/>
      </right>
      <top style="thick">
        <color indexed="11"/>
      </top>
      <bottom style="thick">
        <color indexed="11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 applyAlignment="1">
      <alignment horizontal="right"/>
    </xf>
    <xf numFmtId="0" fontId="1" fillId="0" borderId="2" xfId="0" applyFont="1" applyBorder="1" applyAlignment="1">
      <alignment horizontal="right"/>
    </xf>
    <xf numFmtId="0" fontId="1" fillId="0" borderId="3" xfId="0" applyFont="1" applyBorder="1" applyAlignment="1">
      <alignment horizontal="right"/>
    </xf>
    <xf numFmtId="0" fontId="1" fillId="0" borderId="3" xfId="0" applyFont="1" applyBorder="1" applyAlignment="1">
      <alignment horizontal="left"/>
    </xf>
    <xf numFmtId="2" fontId="1" fillId="0" borderId="3" xfId="0" applyNumberFormat="1" applyFont="1" applyBorder="1" applyAlignment="1">
      <alignment horizontal="right"/>
    </xf>
    <xf numFmtId="4" fontId="1" fillId="0" borderId="4" xfId="0" applyNumberFormat="1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left"/>
    </xf>
    <xf numFmtId="0" fontId="0" fillId="0" borderId="6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4" fontId="0" fillId="0" borderId="7" xfId="0" applyNumberFormat="1" applyFill="1" applyBorder="1" applyAlignment="1">
      <alignment horizontal="right"/>
    </xf>
    <xf numFmtId="0" fontId="0" fillId="0" borderId="8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right"/>
    </xf>
    <xf numFmtId="2" fontId="0" fillId="2" borderId="0" xfId="0" applyNumberFormat="1" applyFill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647700</xdr:colOff>
      <xdr:row>6</xdr:row>
      <xdr:rowOff>76200</xdr:rowOff>
    </xdr:from>
    <xdr:to>
      <xdr:col>13</xdr:col>
      <xdr:colOff>9525</xdr:colOff>
      <xdr:row>22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7678" t="12381" r="6429" b="13095"/>
        <a:stretch>
          <a:fillRect/>
        </a:stretch>
      </xdr:blipFill>
      <xdr:spPr bwMode="auto">
        <a:xfrm>
          <a:off x="647700" y="1085850"/>
          <a:ext cx="4591050" cy="2981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"/>
  <sheetViews>
    <sheetView tabSelected="1" workbookViewId="0">
      <selection activeCell="S2" sqref="S2"/>
    </sheetView>
  </sheetViews>
  <sheetFormatPr defaultRowHeight="15" x14ac:dyDescent="0.25"/>
  <cols>
    <col min="1" max="1" width="13.5703125" style="13" customWidth="1"/>
    <col min="2" max="4" width="4.140625" style="13" customWidth="1"/>
    <col min="5" max="5" width="2.5703125" style="22" customWidth="1"/>
    <col min="6" max="7" width="8.7109375" style="13" customWidth="1"/>
    <col min="8" max="10" width="4.140625" style="13" customWidth="1"/>
    <col min="11" max="11" width="2.5703125" style="22" customWidth="1"/>
    <col min="12" max="15" width="8.7109375" style="13" customWidth="1"/>
    <col min="16" max="16" width="2.140625" style="13" bestFit="1" customWidth="1"/>
    <col min="17" max="18" width="4.7109375" style="14" bestFit="1" customWidth="1"/>
    <col min="19" max="19" width="9.5703125" style="21" bestFit="1" customWidth="1"/>
    <col min="20" max="16384" width="9.140625" style="13"/>
  </cols>
  <sheetData>
    <row r="1" spans="1:19" s="7" customFormat="1" ht="13.5" thickBot="1" x14ac:dyDescent="0.25">
      <c r="A1" s="1"/>
      <c r="B1" s="2" t="s">
        <v>0</v>
      </c>
      <c r="C1" s="3" t="s">
        <v>1</v>
      </c>
      <c r="D1" s="3" t="s">
        <v>2</v>
      </c>
      <c r="E1" s="4"/>
      <c r="F1" s="3" t="s">
        <v>3</v>
      </c>
      <c r="G1" s="3" t="s">
        <v>4</v>
      </c>
      <c r="H1" s="3" t="s">
        <v>0</v>
      </c>
      <c r="I1" s="3" t="s">
        <v>1</v>
      </c>
      <c r="J1" s="3" t="s">
        <v>2</v>
      </c>
      <c r="K1" s="4"/>
      <c r="L1" s="3" t="s">
        <v>5</v>
      </c>
      <c r="M1" s="3" t="s">
        <v>6</v>
      </c>
      <c r="N1" s="3" t="s">
        <v>7</v>
      </c>
      <c r="O1" s="3" t="s">
        <v>8</v>
      </c>
      <c r="P1" s="3" t="s">
        <v>20</v>
      </c>
      <c r="Q1" s="5" t="s">
        <v>9</v>
      </c>
      <c r="R1" s="5" t="s">
        <v>10</v>
      </c>
      <c r="S1" s="6" t="s">
        <v>11</v>
      </c>
    </row>
    <row r="2" spans="1:19" ht="16.5" thickTop="1" thickBot="1" x14ac:dyDescent="0.3">
      <c r="A2" s="8" t="s">
        <v>12</v>
      </c>
      <c r="B2" s="9"/>
      <c r="C2" s="9"/>
      <c r="D2" s="9"/>
      <c r="E2" s="10"/>
      <c r="F2" s="11">
        <v>0</v>
      </c>
      <c r="G2" s="12">
        <f>F2*PI()/180</f>
        <v>0</v>
      </c>
      <c r="H2" s="9"/>
      <c r="I2" s="9"/>
      <c r="J2" s="9"/>
      <c r="K2" s="10"/>
      <c r="L2" s="11">
        <v>0</v>
      </c>
      <c r="M2" s="12">
        <f>L2*PI()/180</f>
        <v>0</v>
      </c>
      <c r="S2" s="15">
        <f>SUM(S3:S5)</f>
        <v>12753.240024307757</v>
      </c>
    </row>
    <row r="3" spans="1:19" ht="15.75" thickTop="1" x14ac:dyDescent="0.25">
      <c r="A3" s="16" t="s">
        <v>13</v>
      </c>
      <c r="B3" s="17">
        <v>82</v>
      </c>
      <c r="C3" s="17">
        <v>20</v>
      </c>
      <c r="D3" s="17">
        <v>11</v>
      </c>
      <c r="E3" s="18" t="s">
        <v>14</v>
      </c>
      <c r="F3" s="12">
        <f>(B3+C3/60+D3/3600) * IF(E3="W",-1,1)</f>
        <v>-82.336388888888891</v>
      </c>
      <c r="G3" s="12">
        <f>F3*PI()/180</f>
        <v>-1.4370410803135867</v>
      </c>
      <c r="H3" s="17">
        <v>29</v>
      </c>
      <c r="I3" s="17">
        <v>40</v>
      </c>
      <c r="J3" s="17">
        <v>27</v>
      </c>
      <c r="K3" s="18" t="s">
        <v>15</v>
      </c>
      <c r="L3" s="12">
        <f>(H3+I3/60+J3/3600) * IF(K3="S",-1,1)</f>
        <v>29.674166666666668</v>
      </c>
      <c r="M3" s="12">
        <f>L3*PI()/180</f>
        <v>0.51791191111888402</v>
      </c>
      <c r="N3" s="13">
        <f>ACOS(SIN(M3)*SIN(M$2)+COS(M3)*COS(M$2)*COS(G$2 - G3))</f>
        <v>1.4546678078473665</v>
      </c>
      <c r="O3" s="13">
        <f>N3*(3963.34 - 13.35*SIN((M$2 + M3)/2))</f>
        <v>5760.3702491548793</v>
      </c>
      <c r="P3" s="19">
        <v>1</v>
      </c>
      <c r="Q3" s="20">
        <v>1</v>
      </c>
      <c r="R3" s="14">
        <f>P3*Q3</f>
        <v>1</v>
      </c>
      <c r="S3" s="21">
        <f>O3*R3</f>
        <v>5760.3702491548793</v>
      </c>
    </row>
    <row r="4" spans="1:19" x14ac:dyDescent="0.25">
      <c r="A4" s="16" t="s">
        <v>16</v>
      </c>
      <c r="B4" s="17">
        <v>44</v>
      </c>
      <c r="C4" s="17">
        <v>22</v>
      </c>
      <c r="D4" s="17"/>
      <c r="E4" s="18" t="s">
        <v>17</v>
      </c>
      <c r="F4" s="12">
        <f>(B4+C4/60+D4/3600) * IF(E4="W",-1,1)</f>
        <v>44.366666666666667</v>
      </c>
      <c r="G4" s="12">
        <f>F4*PI()/180</f>
        <v>0.77434441146815092</v>
      </c>
      <c r="H4" s="17">
        <v>33</v>
      </c>
      <c r="I4" s="17">
        <v>14</v>
      </c>
      <c r="J4" s="17"/>
      <c r="K4" s="18" t="s">
        <v>15</v>
      </c>
      <c r="L4" s="12">
        <f>(H4+I4/60+J4/3600) * IF(K4="S",-1,1)</f>
        <v>33.233333333333334</v>
      </c>
      <c r="M4" s="12">
        <f>L4*PI()/180</f>
        <v>0.58003108807944892</v>
      </c>
      <c r="N4" s="13">
        <f>ACOS(SIN(M4)*SIN(M$2)+COS(M4)*COS(M$2)*COS(G$2 - G4))</f>
        <v>0.92984539426765667</v>
      </c>
      <c r="O4" s="13">
        <f>N4*(3963.34 - 13.35*SIN((M$2 + M4)/2))</f>
        <v>3681.743610370062</v>
      </c>
      <c r="P4" s="19">
        <v>1</v>
      </c>
      <c r="Q4" s="20">
        <v>1</v>
      </c>
      <c r="R4" s="14">
        <f>P4*Q4</f>
        <v>1</v>
      </c>
      <c r="S4" s="21">
        <f>O4*R4</f>
        <v>3681.743610370062</v>
      </c>
    </row>
    <row r="5" spans="1:19" x14ac:dyDescent="0.25">
      <c r="A5" s="16" t="s">
        <v>18</v>
      </c>
      <c r="B5" s="17">
        <v>43</v>
      </c>
      <c r="C5" s="17">
        <v>12</v>
      </c>
      <c r="D5" s="17"/>
      <c r="E5" s="18" t="s">
        <v>14</v>
      </c>
      <c r="F5" s="12">
        <f>(B5+C5/60+D5/3600) * IF(E5="W",-1,1)</f>
        <v>-43.2</v>
      </c>
      <c r="G5" s="12">
        <f>F5*PI()/180</f>
        <v>-0.7539822368615503</v>
      </c>
      <c r="H5" s="17">
        <v>22</v>
      </c>
      <c r="I5" s="17">
        <v>57</v>
      </c>
      <c r="J5" s="17"/>
      <c r="K5" s="18" t="s">
        <v>19</v>
      </c>
      <c r="L5" s="12">
        <f>(H5+I5/60+J5/3600) * IF(K5="S",-1,1)</f>
        <v>-22.95</v>
      </c>
      <c r="M5" s="12">
        <f>L5*PI()/180</f>
        <v>-0.40055306333269863</v>
      </c>
      <c r="N5" s="13">
        <f>ACOS(SIN(M5)*SIN(M$2)+COS(M5)*COS(M$2)*COS(G$2 - G5))</f>
        <v>0.83487887709180553</v>
      </c>
      <c r="O5" s="13">
        <f>N5*(3963.34 - 13.35*SIN((M$2 + M5)/2))</f>
        <v>3311.1261647828151</v>
      </c>
      <c r="P5" s="19">
        <v>1</v>
      </c>
      <c r="Q5" s="20">
        <v>1</v>
      </c>
      <c r="R5" s="14">
        <f>P5*Q5</f>
        <v>1</v>
      </c>
      <c r="S5" s="21">
        <f>O5*R5</f>
        <v>3311.1261647828151</v>
      </c>
    </row>
    <row r="8" spans="1:19" x14ac:dyDescent="0.25">
      <c r="Q8"/>
      <c r="R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GC Location</vt:lpstr>
    </vt:vector>
  </TitlesOfParts>
  <Company>North Carolina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Template for GC Location</dc:title>
  <dc:creator>Michael Kay</dc:creator>
  <cp:lastModifiedBy>Michael Kay</cp:lastModifiedBy>
  <dcterms:created xsi:type="dcterms:W3CDTF">2020-01-13T16:43:32Z</dcterms:created>
  <dcterms:modified xsi:type="dcterms:W3CDTF">2020-01-13T17:25:14Z</dcterms:modified>
</cp:coreProperties>
</file>