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y\Documents\cdoc\Teaching_C\ISE453\ISE453spreadsheets\"/>
    </mc:Choice>
  </mc:AlternateContent>
  <bookViews>
    <workbookView xWindow="1620" yWindow="405" windowWidth="15195" windowHeight="13035"/>
  </bookViews>
  <sheets>
    <sheet name="Example 1" sheetId="3" r:id="rId1"/>
    <sheet name="Example 2" sheetId="6" r:id="rId2"/>
    <sheet name="Example 3" sheetId="4" r:id="rId3"/>
    <sheet name="Kitchen Ex Data" sheetId="7" r:id="rId4"/>
    <sheet name="DAN407" sheetId="8" r:id="rId5"/>
    <sheet name="Template" sheetId="5" r:id="rId6"/>
  </sheets>
  <functionGroups builtInGroupCount="18"/>
  <definedNames>
    <definedName name="D_Matrix">'Example 3'!$I$18:$M$22</definedName>
    <definedName name="Dijk_Paths">Template!$G$23:$I$47</definedName>
    <definedName name="Dist_Loc">Template!$C$23:$D$32</definedName>
    <definedName name="Distance">'Example 1'!$M$16:$N$19</definedName>
    <definedName name="Distance_Matrix">Template!$N$23:$W$32</definedName>
    <definedName name="F">'Example 1'!$B$9:$D$9</definedName>
    <definedName name="Frequency">'Example 3'!$B$11:$F$11</definedName>
    <definedName name="H">'Example 1'!$B$11:$D$11</definedName>
    <definedName name="Handling_Cost">'Example 3'!$B$13:$F$13</definedName>
    <definedName name="Locations">'Example 1'!$B$16:$C$19</definedName>
    <definedName name="Part_Cost">Template!$B$18:$K$18</definedName>
    <definedName name="Part_Freq">Template!$B$16:$K$16</definedName>
    <definedName name="Part_Routes">Template!$B$4:$K$11</definedName>
    <definedName name="Paths">'Example 3'!$B$18:$D$24</definedName>
    <definedName name="Route_Input">'Example 3'!$B$4:$F$8</definedName>
    <definedName name="Routes">'Example 1'!$B$4:$F$6</definedName>
    <definedName name="W_Matrix">'Example 3'!$I$4:$M$8</definedName>
    <definedName name="Weight">'Example 1'!$K$4:$N$7</definedName>
    <definedName name="Weight_Matrix">Template!$N$4:$W$13</definedName>
  </definedNames>
  <calcPr calcId="162913" calcMode="manual"/>
</workbook>
</file>

<file path=xl/calcChain.xml><?xml version="1.0" encoding="utf-8"?>
<calcChain xmlns="http://schemas.openxmlformats.org/spreadsheetml/2006/main">
  <c r="I4" i="4" l="1" a="1"/>
  <c r="B47" i="6" a="1"/>
  <c r="B104" i="6" a="1"/>
  <c r="B75" i="6" a="1"/>
  <c r="I4" i="3" a="1"/>
  <c r="I18" i="4" a="1"/>
  <c r="B19" i="6" a="1"/>
  <c r="I16" i="3" a="1"/>
  <c r="G3" i="8" a="1"/>
  <c r="S13" i="8" l="1"/>
  <c r="I11" i="8"/>
  <c r="K8" i="8"/>
  <c r="M5" i="8"/>
  <c r="M12" i="8"/>
  <c r="M9" i="8"/>
  <c r="O6" i="8"/>
  <c r="N3" i="8"/>
  <c r="R11" i="8"/>
  <c r="G11" i="8"/>
  <c r="Q7" i="8"/>
  <c r="S4" i="8"/>
  <c r="Q19" i="8"/>
  <c r="V9" i="8"/>
  <c r="K11" i="8"/>
  <c r="V7" i="8"/>
  <c r="J8" i="8"/>
  <c r="S15" i="8"/>
  <c r="T6" i="8"/>
  <c r="Q3" i="8"/>
  <c r="U16" i="8"/>
  <c r="R7" i="8"/>
  <c r="T10" i="8"/>
  <c r="R9" i="8"/>
  <c r="R18" i="8"/>
  <c r="N13" i="8"/>
  <c r="O8" i="8"/>
  <c r="T5" i="8"/>
  <c r="M6" i="8"/>
  <c r="V16" i="8"/>
  <c r="M14" i="8"/>
  <c r="I7" i="8"/>
  <c r="W12" i="8"/>
  <c r="N8" i="8"/>
  <c r="N5" i="8"/>
  <c r="G17" i="8"/>
  <c r="P9" i="8"/>
  <c r="S6" i="8"/>
  <c r="V4" i="8"/>
  <c r="H5" i="8"/>
  <c r="V5" i="8"/>
  <c r="H4" i="8"/>
  <c r="J5" i="8"/>
  <c r="P5" i="8"/>
  <c r="Q11" i="8"/>
  <c r="O10" i="8"/>
  <c r="K7" i="8"/>
  <c r="N20" i="8"/>
  <c r="O15" i="8"/>
  <c r="P13" i="8"/>
  <c r="R10" i="8"/>
  <c r="T7" i="8"/>
  <c r="I14" i="8"/>
  <c r="T11" i="8"/>
  <c r="V8" i="8"/>
  <c r="X5" i="8"/>
  <c r="G14" i="8"/>
  <c r="U12" i="8"/>
  <c r="X9" i="8"/>
  <c r="H7" i="8"/>
  <c r="J4" i="8"/>
  <c r="K12" i="8"/>
  <c r="G13" i="8"/>
  <c r="K10" i="8"/>
  <c r="R12" i="8"/>
  <c r="K19" i="8"/>
  <c r="L10" i="8"/>
  <c r="R6" i="8"/>
  <c r="M20" i="8"/>
  <c r="P11" i="8"/>
  <c r="T13" i="8"/>
  <c r="U13" i="8"/>
  <c r="L16" i="8"/>
  <c r="S16" i="8"/>
  <c r="T16" i="8"/>
  <c r="H11" i="8"/>
  <c r="U6" i="8"/>
  <c r="S18" i="8"/>
  <c r="P3" i="8"/>
  <c r="K14" i="8"/>
  <c r="L20" i="8"/>
  <c r="V12" i="8"/>
  <c r="J15" i="8"/>
  <c r="H6" i="8"/>
  <c r="P20" i="8"/>
  <c r="L15" i="8"/>
  <c r="X8" i="8"/>
  <c r="N10" i="8"/>
  <c r="X6" i="8"/>
  <c r="V19" i="8"/>
  <c r="J3" i="8"/>
  <c r="U3" i="8"/>
  <c r="G10" i="8"/>
  <c r="W9" i="8"/>
  <c r="G3" i="8"/>
  <c r="K17" i="8"/>
  <c r="V15" i="8"/>
  <c r="X12" i="8"/>
  <c r="H10" i="8"/>
  <c r="W15" i="8"/>
  <c r="H14" i="8"/>
  <c r="J11" i="8"/>
  <c r="L8" i="8"/>
  <c r="N16" i="8"/>
  <c r="Q14" i="8"/>
  <c r="L12" i="8"/>
  <c r="N9" i="8"/>
  <c r="P6" i="8"/>
  <c r="R14" i="8"/>
  <c r="U14" i="8"/>
  <c r="M4" i="8"/>
  <c r="J16" i="8"/>
  <c r="L4" i="8"/>
  <c r="O14" i="8"/>
  <c r="J10" i="8"/>
  <c r="U5" i="8"/>
  <c r="H15" i="8"/>
  <c r="O5" i="8"/>
  <c r="R17" i="8"/>
  <c r="O4" i="8"/>
  <c r="P17" i="8"/>
  <c r="O20" i="8"/>
  <c r="P15" i="8"/>
  <c r="W13" i="8"/>
  <c r="V6" i="8"/>
  <c r="G12" i="8"/>
  <c r="H8" i="8"/>
  <c r="Q5" i="8"/>
  <c r="J18" i="8"/>
  <c r="O13" i="8"/>
  <c r="X14" i="8"/>
  <c r="S8" i="8"/>
  <c r="R16" i="8"/>
  <c r="W14" i="8"/>
  <c r="Q9" i="8"/>
  <c r="X19" i="8"/>
  <c r="L9" i="8"/>
  <c r="P14" i="8"/>
  <c r="I12" i="8"/>
  <c r="K4" i="8"/>
  <c r="U15" i="8"/>
  <c r="X18" i="8"/>
  <c r="U4" i="8"/>
  <c r="G19" i="8"/>
  <c r="K18" i="8"/>
  <c r="M15" i="8"/>
  <c r="O3" i="8"/>
  <c r="S17" i="8"/>
  <c r="O16" i="8"/>
  <c r="Q13" i="8"/>
  <c r="S10" i="8"/>
  <c r="T18" i="8"/>
  <c r="M16" i="8"/>
  <c r="S14" i="8"/>
  <c r="U11" i="8"/>
  <c r="W8" i="8"/>
  <c r="X16" i="8"/>
  <c r="Q16" i="8"/>
  <c r="W7" i="8"/>
  <c r="G20" i="8"/>
  <c r="H9" i="8"/>
  <c r="G18" i="8"/>
  <c r="I13" i="8"/>
  <c r="P10" i="8"/>
  <c r="J19" i="8"/>
  <c r="G9" i="8"/>
  <c r="X20" i="8"/>
  <c r="G8" i="8"/>
  <c r="U7" i="8"/>
  <c r="I9" i="8"/>
  <c r="V10" i="8"/>
  <c r="H3" i="8"/>
  <c r="T12" i="8"/>
  <c r="T19" i="8"/>
  <c r="P12" i="8"/>
  <c r="N12" i="8"/>
  <c r="S3" i="8"/>
  <c r="P18" i="8"/>
  <c r="N15" i="8"/>
  <c r="L14" i="8"/>
  <c r="X7" i="8"/>
  <c r="R19" i="8"/>
  <c r="Q20" i="8"/>
  <c r="W11" i="8"/>
  <c r="Q10" i="8"/>
  <c r="K9" i="8"/>
  <c r="O9" i="8"/>
  <c r="M19" i="8"/>
  <c r="U18" i="8"/>
  <c r="J20" i="8"/>
  <c r="O17" i="8"/>
  <c r="Q6" i="8"/>
  <c r="U20" i="8"/>
  <c r="R20" i="8"/>
  <c r="T17" i="8"/>
  <c r="K5" i="8"/>
  <c r="O19" i="8"/>
  <c r="V18" i="8"/>
  <c r="X15" i="8"/>
  <c r="H13" i="8"/>
  <c r="W3" i="8"/>
  <c r="I18" i="8"/>
  <c r="H17" i="8"/>
  <c r="J14" i="8"/>
  <c r="L11" i="8"/>
  <c r="I4" i="8"/>
  <c r="M18" i="8"/>
  <c r="O11" i="8"/>
  <c r="L19" i="8"/>
  <c r="J13" i="8"/>
  <c r="T15" i="8"/>
  <c r="H16" i="8"/>
  <c r="N14" i="8"/>
  <c r="T4" i="8"/>
  <c r="Q12" i="8"/>
  <c r="K20" i="8"/>
  <c r="V11" i="8"/>
  <c r="L17" i="8"/>
  <c r="R15" i="8"/>
  <c r="N4" i="8"/>
  <c r="N11" i="8"/>
  <c r="L6" i="8"/>
  <c r="L5" i="8"/>
  <c r="V17" i="8"/>
  <c r="N17" i="8"/>
  <c r="W17" i="8"/>
  <c r="T9" i="8"/>
  <c r="J6" i="8"/>
  <c r="O18" i="8"/>
  <c r="L13" i="8"/>
  <c r="U10" i="8"/>
  <c r="I15" i="8"/>
  <c r="T8" i="8"/>
  <c r="W4" i="8"/>
  <c r="H19" i="8"/>
  <c r="M8" i="8"/>
  <c r="G4" i="8"/>
  <c r="J17" i="8"/>
  <c r="H20" i="8"/>
  <c r="G7" i="8"/>
  <c r="L3" i="8"/>
  <c r="S20" i="8"/>
  <c r="L18" i="8"/>
  <c r="P4" i="8"/>
  <c r="S5" i="8"/>
  <c r="W19" i="8"/>
  <c r="N19" i="8"/>
  <c r="P16" i="8"/>
  <c r="G16" i="8"/>
  <c r="W5" i="8"/>
  <c r="I20" i="8"/>
  <c r="G15" i="8"/>
  <c r="G5" i="8"/>
  <c r="M17" i="8"/>
  <c r="V3" i="8"/>
  <c r="I6" i="8"/>
  <c r="X17" i="8"/>
  <c r="R8" i="8"/>
  <c r="I16" i="8"/>
  <c r="M7" i="8"/>
  <c r="X3" i="8"/>
  <c r="Q4" i="8"/>
  <c r="X13" i="8"/>
  <c r="K16" i="8"/>
  <c r="I19" i="8"/>
  <c r="X11" i="8"/>
  <c r="H12" i="8"/>
  <c r="I8" i="8"/>
  <c r="T20" i="8"/>
  <c r="Q15" i="8"/>
  <c r="K6" i="8"/>
  <c r="S12" i="8"/>
  <c r="K3" i="8"/>
  <c r="U19" i="8"/>
  <c r="L7" i="8"/>
  <c r="G6" i="8"/>
  <c r="H18" i="8"/>
  <c r="P7" i="8"/>
  <c r="K13" i="8"/>
  <c r="X10" i="8"/>
  <c r="R3" i="8"/>
  <c r="V13" i="8"/>
  <c r="I10" i="8"/>
  <c r="N6" i="8"/>
  <c r="M3" i="8"/>
  <c r="W16" i="8"/>
  <c r="U8" i="8"/>
  <c r="R4" i="8"/>
  <c r="N18" i="8"/>
  <c r="M13" i="8"/>
  <c r="W6" i="8"/>
  <c r="O7" i="8"/>
  <c r="T3" i="8"/>
  <c r="R13" i="8"/>
  <c r="W18" i="8"/>
  <c r="I5" i="8"/>
  <c r="S7" i="8"/>
  <c r="I3" i="8"/>
  <c r="Q18" i="8"/>
  <c r="Q8" i="8"/>
  <c r="W20" i="8"/>
  <c r="N7" i="8"/>
  <c r="S9" i="8"/>
  <c r="V14" i="8"/>
  <c r="J12" i="8"/>
  <c r="S19" i="8"/>
  <c r="W10" i="8"/>
  <c r="J7" i="8"/>
  <c r="S11" i="8"/>
  <c r="R5" i="8"/>
  <c r="O12" i="8"/>
  <c r="X4" i="8"/>
  <c r="Q17" i="8"/>
  <c r="I17" i="8"/>
  <c r="K15" i="8"/>
  <c r="J9" i="8"/>
  <c r="P8" i="8"/>
  <c r="M11" i="8"/>
  <c r="P19" i="8"/>
  <c r="M10" i="8"/>
  <c r="V20" i="8"/>
  <c r="U17" i="8"/>
  <c r="T14" i="8"/>
  <c r="U9" i="8"/>
  <c r="L19" i="3"/>
  <c r="K16" i="3"/>
  <c r="K18" i="3"/>
  <c r="L17" i="3"/>
  <c r="L16" i="3"/>
  <c r="J18" i="3"/>
  <c r="K17" i="3"/>
  <c r="K19" i="3"/>
  <c r="J16" i="3"/>
  <c r="I16" i="3"/>
  <c r="J19" i="3"/>
  <c r="L18" i="3"/>
  <c r="I17" i="3"/>
  <c r="J17" i="3"/>
  <c r="I18" i="3"/>
  <c r="I19" i="3"/>
  <c r="D21" i="6"/>
  <c r="B23" i="6"/>
  <c r="E20" i="6"/>
  <c r="C23" i="6"/>
  <c r="C22" i="6"/>
  <c r="F20" i="6"/>
  <c r="D22" i="6"/>
  <c r="C20" i="6"/>
  <c r="F23" i="6"/>
  <c r="C19" i="6"/>
  <c r="E23" i="6"/>
  <c r="F22" i="6"/>
  <c r="B22" i="6"/>
  <c r="F21" i="6"/>
  <c r="B20" i="6"/>
  <c r="E22" i="6"/>
  <c r="D19" i="6"/>
  <c r="E21" i="6"/>
  <c r="C21" i="6"/>
  <c r="D23" i="6"/>
  <c r="E19" i="6"/>
  <c r="F19" i="6"/>
  <c r="D20" i="6"/>
  <c r="B19" i="6"/>
  <c r="B21" i="6"/>
  <c r="M22" i="4"/>
  <c r="I19" i="4"/>
  <c r="L19" i="4"/>
  <c r="J20" i="4"/>
  <c r="I21" i="4"/>
  <c r="L21" i="4"/>
  <c r="I20" i="4"/>
  <c r="K18" i="4"/>
  <c r="L22" i="4"/>
  <c r="J18" i="4"/>
  <c r="K20" i="4"/>
  <c r="M18" i="4"/>
  <c r="K21" i="4"/>
  <c r="I22" i="4"/>
  <c r="M20" i="4"/>
  <c r="L20" i="4"/>
  <c r="I18" i="4"/>
  <c r="M21" i="4"/>
  <c r="L18" i="4"/>
  <c r="J19" i="4"/>
  <c r="K19" i="4"/>
  <c r="J22" i="4"/>
  <c r="J21" i="4"/>
  <c r="K22" i="4"/>
  <c r="M19" i="4"/>
  <c r="L7" i="3"/>
  <c r="L5" i="3"/>
  <c r="J5" i="3"/>
  <c r="J4" i="3"/>
  <c r="K7" i="3"/>
  <c r="J7" i="3"/>
  <c r="K5" i="3"/>
  <c r="K4" i="3"/>
  <c r="I7" i="3"/>
  <c r="I5" i="3"/>
  <c r="I4" i="3"/>
  <c r="J6" i="3"/>
  <c r="L4" i="3"/>
  <c r="I6" i="3"/>
  <c r="K6" i="3"/>
  <c r="L6" i="3"/>
  <c r="B75" i="6"/>
  <c r="D77" i="6"/>
  <c r="F75" i="6"/>
  <c r="D75" i="6"/>
  <c r="B77" i="6"/>
  <c r="B79" i="6"/>
  <c r="F78" i="6"/>
  <c r="F79" i="6"/>
  <c r="E75" i="6"/>
  <c r="C75" i="6"/>
  <c r="E78" i="6"/>
  <c r="E76" i="6"/>
  <c r="E77" i="6"/>
  <c r="C77" i="6"/>
  <c r="B76" i="6"/>
  <c r="F76" i="6"/>
  <c r="F77" i="6"/>
  <c r="B78" i="6"/>
  <c r="C76" i="6"/>
  <c r="D76" i="6"/>
  <c r="C79" i="6"/>
  <c r="E79" i="6"/>
  <c r="C78" i="6"/>
  <c r="D78" i="6"/>
  <c r="D79" i="6"/>
  <c r="E105" i="6"/>
  <c r="E106" i="6"/>
  <c r="B108" i="6"/>
  <c r="C104" i="6"/>
  <c r="E104" i="6"/>
  <c r="E107" i="6"/>
  <c r="D105" i="6"/>
  <c r="B104" i="6"/>
  <c r="B107" i="6"/>
  <c r="D104" i="6"/>
  <c r="F104" i="6"/>
  <c r="E108" i="6"/>
  <c r="D108" i="6"/>
  <c r="C108" i="6"/>
  <c r="F105" i="6"/>
  <c r="F108" i="6"/>
  <c r="F106" i="6"/>
  <c r="F107" i="6"/>
  <c r="D107" i="6"/>
  <c r="C107" i="6"/>
  <c r="B105" i="6"/>
  <c r="D106" i="6"/>
  <c r="C106" i="6"/>
  <c r="B106" i="6"/>
  <c r="C105" i="6"/>
  <c r="C48" i="6"/>
  <c r="C47" i="6"/>
  <c r="B51" i="6"/>
  <c r="F47" i="6"/>
  <c r="D47" i="6"/>
  <c r="C50" i="6"/>
  <c r="E50" i="6"/>
  <c r="E51" i="6"/>
  <c r="F48" i="6"/>
  <c r="B49" i="6"/>
  <c r="D49" i="6"/>
  <c r="D51" i="6"/>
  <c r="E49" i="6"/>
  <c r="D50" i="6"/>
  <c r="F51" i="6"/>
  <c r="C49" i="6"/>
  <c r="F49" i="6"/>
  <c r="E47" i="6"/>
  <c r="C51" i="6"/>
  <c r="E48" i="6"/>
  <c r="B50" i="6"/>
  <c r="B47" i="6"/>
  <c r="D48" i="6"/>
  <c r="F50" i="6"/>
  <c r="B48" i="6"/>
  <c r="I7" i="4"/>
  <c r="I4" i="4"/>
  <c r="K7" i="4"/>
  <c r="K5" i="4"/>
  <c r="L8" i="4"/>
  <c r="J4" i="4"/>
  <c r="L4" i="4"/>
  <c r="M5" i="4"/>
  <c r="I6" i="4"/>
  <c r="I5" i="4"/>
  <c r="M8" i="4"/>
  <c r="L7" i="4"/>
  <c r="K4" i="4"/>
  <c r="K6" i="4"/>
  <c r="J8" i="4"/>
  <c r="M6" i="4"/>
  <c r="J7" i="4"/>
  <c r="I8" i="4"/>
  <c r="J6" i="4"/>
  <c r="M7" i="4"/>
  <c r="K8" i="4"/>
  <c r="L6" i="4"/>
  <c r="J5" i="4"/>
  <c r="L5" i="4"/>
  <c r="M4" i="4"/>
  <c r="B23" i="3" a="1"/>
  <c r="B26" i="6" a="1"/>
  <c r="B29" i="4" a="1"/>
  <c r="B82" i="6" a="1"/>
  <c r="B111" i="6" a="1"/>
  <c r="B54" i="6" a="1"/>
  <c r="C54" i="6" l="1"/>
  <c r="B54" i="6"/>
  <c r="F54" i="6"/>
  <c r="E54" i="6"/>
  <c r="G54" i="6"/>
  <c r="D54" i="6"/>
  <c r="G111" i="6"/>
  <c r="D111" i="6"/>
  <c r="B111" i="6"/>
  <c r="C111" i="6"/>
  <c r="E111" i="6"/>
  <c r="F111" i="6"/>
  <c r="E82" i="6"/>
  <c r="C82" i="6"/>
  <c r="B82" i="6"/>
  <c r="G82" i="6"/>
  <c r="D82" i="6"/>
  <c r="F82" i="6"/>
  <c r="B29" i="4"/>
  <c r="G29" i="4"/>
  <c r="D29" i="4"/>
  <c r="E29" i="4"/>
  <c r="F29" i="4"/>
  <c r="C29" i="4"/>
  <c r="C26" i="6"/>
  <c r="D26" i="6"/>
  <c r="E26" i="6"/>
  <c r="G26" i="6"/>
  <c r="F26" i="6"/>
  <c r="B26" i="6"/>
  <c r="E23" i="3"/>
  <c r="C23" i="3"/>
  <c r="B23" i="3"/>
  <c r="F23" i="3"/>
  <c r="D23" i="3"/>
</calcChain>
</file>

<file path=xl/sharedStrings.xml><?xml version="1.0" encoding="utf-8"?>
<sst xmlns="http://schemas.openxmlformats.org/spreadsheetml/2006/main" count="129" uniqueCount="67">
  <si>
    <t>Handling Cost:</t>
  </si>
  <si>
    <t>Create Distance Matrix</t>
  </si>
  <si>
    <t>Locations:</t>
  </si>
  <si>
    <t>Create Weight Matrix</t>
  </si>
  <si>
    <t>Find Best Layout</t>
  </si>
  <si>
    <t>Layout:</t>
  </si>
  <si>
    <t>Cost:</t>
  </si>
  <si>
    <t>Frequency:</t>
  </si>
  <si>
    <t>Route #2</t>
  </si>
  <si>
    <t>Route #3</t>
  </si>
  <si>
    <t>Routes: Route #1</t>
  </si>
  <si>
    <t>X</t>
  </si>
  <si>
    <t>Y</t>
  </si>
  <si>
    <t>Route #4</t>
  </si>
  <si>
    <t>Route #5</t>
  </si>
  <si>
    <t>Start</t>
  </si>
  <si>
    <t>End</t>
  </si>
  <si>
    <t>Distance</t>
  </si>
  <si>
    <t>Part #1</t>
  </si>
  <si>
    <t>Part #2</t>
  </si>
  <si>
    <t>Part #3</t>
  </si>
  <si>
    <t>Part #4</t>
  </si>
  <si>
    <t>Part #5</t>
  </si>
  <si>
    <t>Part Routes: Route #1</t>
  </si>
  <si>
    <t>Weight Matrix</t>
  </si>
  <si>
    <t>Distance Matrix</t>
  </si>
  <si>
    <t>Paths:</t>
  </si>
  <si>
    <t>* for circular and general layouts.</t>
  </si>
  <si>
    <t>OR</t>
  </si>
  <si>
    <t>W:</t>
  </si>
  <si>
    <t>D:</t>
  </si>
  <si>
    <t>Best Layout:</t>
  </si>
  <si>
    <t>Scenario A</t>
  </si>
  <si>
    <t>(OPEN SPACE)</t>
  </si>
  <si>
    <t>Scenario B</t>
  </si>
  <si>
    <t>(RECTANGULAR GRID)</t>
  </si>
  <si>
    <t>Scenario C</t>
  </si>
  <si>
    <t>(CIRCULATING CONVEYOR)</t>
  </si>
  <si>
    <t>Routes:</t>
  </si>
  <si>
    <t>Scenario D</t>
  </si>
  <si>
    <t>(GENERAL NETWORK)</t>
  </si>
  <si>
    <t>* for finding overall best layout</t>
  </si>
  <si>
    <t>* for observing a single iteration layout</t>
  </si>
  <si>
    <t>* for observing the per iteration layouts</t>
  </si>
  <si>
    <t xml:space="preserve">  =sdpi(Weight_Matrix,Distance_Matrix)</t>
  </si>
  <si>
    <t>=w(Routes,Flow,Handling_Cost)</t>
  </si>
  <si>
    <t>=dist(Locations,[1 or 2])</t>
  </si>
  <si>
    <t>=dijk(Paths)</t>
  </si>
  <si>
    <t>Drink</t>
  </si>
  <si>
    <t>Breakfast</t>
  </si>
  <si>
    <t>Lunch</t>
  </si>
  <si>
    <t>Dinner</t>
  </si>
  <si>
    <t>Cleanup</t>
  </si>
  <si>
    <t>Meal:     Snack</t>
  </si>
  <si>
    <t>Kitchen Layout Example Data</t>
  </si>
  <si>
    <t>* for open space and rectangular layouts</t>
  </si>
  <si>
    <t xml:space="preserve">Item : </t>
  </si>
  <si>
    <t xml:space="preserve">Flow : </t>
  </si>
  <si>
    <t>Routing :    1</t>
  </si>
  <si>
    <t xml:space="preserve">Handling Cost : </t>
  </si>
  <si>
    <t>Locations :</t>
  </si>
  <si>
    <r>
      <t>Dist (</t>
    </r>
    <r>
      <rPr>
        <i/>
        <sz val="10"/>
        <rFont val="Arial"/>
        <family val="2"/>
      </rPr>
      <t>d</t>
    </r>
    <r>
      <rPr>
        <i/>
        <vertAlign val="subscript"/>
        <sz val="10"/>
        <rFont val="Arial"/>
        <family val="2"/>
      </rPr>
      <t>ij</t>
    </r>
    <r>
      <rPr>
        <sz val="10"/>
        <rFont val="Arial"/>
      </rPr>
      <t>)</t>
    </r>
  </si>
  <si>
    <r>
      <t>End (</t>
    </r>
    <r>
      <rPr>
        <i/>
        <sz val="10"/>
        <rFont val="Arial"/>
        <family val="2"/>
      </rPr>
      <t>j</t>
    </r>
    <r>
      <rPr>
        <sz val="10"/>
        <rFont val="Arial"/>
      </rPr>
      <t>)</t>
    </r>
  </si>
  <si>
    <r>
      <t>Start (</t>
    </r>
    <r>
      <rPr>
        <i/>
        <sz val="10"/>
        <rFont val="Arial"/>
        <family val="2"/>
      </rPr>
      <t>i</t>
    </r>
    <r>
      <rPr>
        <sz val="10"/>
        <rFont val="Arial"/>
      </rPr>
      <t>)</t>
    </r>
  </si>
  <si>
    <r>
      <t>(</t>
    </r>
    <r>
      <rPr>
        <i/>
        <sz val="10"/>
        <rFont val="Arial"/>
        <family val="2"/>
      </rPr>
      <t>i</t>
    </r>
    <r>
      <rPr>
        <sz val="10"/>
        <rFont val="Arial"/>
      </rPr>
      <t>)</t>
    </r>
  </si>
  <si>
    <r>
      <t xml:space="preserve"> (</t>
    </r>
    <r>
      <rPr>
        <i/>
        <sz val="10"/>
        <rFont val="Arial"/>
        <family val="2"/>
      </rPr>
      <t>j</t>
    </r>
    <r>
      <rPr>
        <sz val="10"/>
        <rFont val="Arial"/>
      </rPr>
      <t>)</t>
    </r>
  </si>
  <si>
    <r>
      <t xml:space="preserve"> (</t>
    </r>
    <r>
      <rPr>
        <i/>
        <sz val="10"/>
        <rFont val="Arial"/>
        <family val="2"/>
      </rPr>
      <t>d</t>
    </r>
    <r>
      <rPr>
        <i/>
        <vertAlign val="subscript"/>
        <sz val="10"/>
        <rFont val="Arial"/>
        <family val="2"/>
      </rPr>
      <t>ij</t>
    </r>
    <r>
      <rPr>
        <sz val="10"/>
        <rFont val="Arial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</si>
</sst>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sz val="1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3" fillId="5" borderId="1" xfId="0" applyFont="1" applyFill="1" applyBorder="1"/>
    <xf numFmtId="0" fontId="4" fillId="0" borderId="2" xfId="0" applyFont="1" applyBorder="1"/>
    <xf numFmtId="0" fontId="0" fillId="0" borderId="3" xfId="0" applyBorder="1"/>
    <xf numFmtId="0" fontId="2" fillId="2" borderId="1" xfId="0" applyFont="1" applyFill="1" applyBorder="1"/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/>
    <xf numFmtId="2" fontId="0" fillId="3" borderId="1" xfId="0" applyNumberFormat="1" applyFill="1" applyBorder="1" applyAlignment="1">
      <alignment horizontal="center"/>
    </xf>
    <xf numFmtId="0" fontId="2" fillId="5" borderId="1" xfId="0" applyFont="1" applyFill="1" applyBorder="1"/>
    <xf numFmtId="0" fontId="0" fillId="4" borderId="2" xfId="0" applyFill="1" applyBorder="1"/>
    <xf numFmtId="0" fontId="0" fillId="3" borderId="1" xfId="0" applyNumberFormat="1" applyFill="1" applyBorder="1" applyAlignment="1">
      <alignment horizontal="center"/>
    </xf>
    <xf numFmtId="0" fontId="7" fillId="0" borderId="0" xfId="0" quotePrefix="1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3" fillId="4" borderId="1" xfId="0" applyFont="1" applyFill="1" applyBorder="1" applyAlignment="1"/>
    <xf numFmtId="0" fontId="2" fillId="4" borderId="1" xfId="0" applyFont="1" applyFill="1" applyBorder="1" applyAlignment="1"/>
    <xf numFmtId="0" fontId="2" fillId="3" borderId="1" xfId="0" applyFont="1" applyFill="1" applyBorder="1" applyAlignment="1"/>
    <xf numFmtId="0" fontId="0" fillId="0" borderId="1" xfId="0" applyBorder="1" applyAlignment="1"/>
    <xf numFmtId="0" fontId="3" fillId="0" borderId="0" xfId="0" applyFont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26</xdr:row>
          <xdr:rowOff>104775</xdr:rowOff>
        </xdr:from>
        <xdr:to>
          <xdr:col>11</xdr:col>
          <xdr:colOff>19050</xdr:colOff>
          <xdr:row>29</xdr:row>
          <xdr:rowOff>104775</xdr:rowOff>
        </xdr:to>
        <xdr:sp macro="" textlink="">
          <xdr:nvSpPr>
            <xdr:cNvPr id="1032" name="Object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409575</xdr:colOff>
      <xdr:row>5</xdr:row>
      <xdr:rowOff>9525</xdr:rowOff>
    </xdr:from>
    <xdr:to>
      <xdr:col>13</xdr:col>
      <xdr:colOff>352425</xdr:colOff>
      <xdr:row>21</xdr:row>
      <xdr:rowOff>9525</xdr:rowOff>
    </xdr:to>
    <xdr:pic>
      <xdr:nvPicPr>
        <xdr:cNvPr id="41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76775" y="857250"/>
          <a:ext cx="3648075" cy="2590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409575</xdr:colOff>
      <xdr:row>34</xdr:row>
      <xdr:rowOff>38100</xdr:rowOff>
    </xdr:from>
    <xdr:to>
      <xdr:col>13</xdr:col>
      <xdr:colOff>304800</xdr:colOff>
      <xdr:row>46</xdr:row>
      <xdr:rowOff>152400</xdr:rowOff>
    </xdr:to>
    <xdr:pic>
      <xdr:nvPicPr>
        <xdr:cNvPr id="41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76775" y="5619750"/>
          <a:ext cx="3600450" cy="2057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438150</xdr:colOff>
      <xdr:row>89</xdr:row>
      <xdr:rowOff>28575</xdr:rowOff>
    </xdr:from>
    <xdr:to>
      <xdr:col>11</xdr:col>
      <xdr:colOff>533400</xdr:colOff>
      <xdr:row>106</xdr:row>
      <xdr:rowOff>123825</xdr:rowOff>
    </xdr:to>
    <xdr:pic>
      <xdr:nvPicPr>
        <xdr:cNvPr id="41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05350" y="14592300"/>
          <a:ext cx="2562225" cy="2847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390525</xdr:colOff>
      <xdr:row>61</xdr:row>
      <xdr:rowOff>57150</xdr:rowOff>
    </xdr:from>
    <xdr:to>
      <xdr:col>14</xdr:col>
      <xdr:colOff>0</xdr:colOff>
      <xdr:row>72</xdr:row>
      <xdr:rowOff>28575</xdr:rowOff>
    </xdr:to>
    <xdr:pic>
      <xdr:nvPicPr>
        <xdr:cNvPr id="41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10048875"/>
          <a:ext cx="4143375" cy="175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30</xdr:row>
          <xdr:rowOff>19050</xdr:rowOff>
        </xdr:from>
        <xdr:to>
          <xdr:col>7</xdr:col>
          <xdr:colOff>0</xdr:colOff>
          <xdr:row>44</xdr:row>
          <xdr:rowOff>47625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.vsd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oleObject" Target="../embeddings/Microsoft_Visio_2003-2010_Drawing1.vsd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L23"/>
  <sheetViews>
    <sheetView tabSelected="1" workbookViewId="0">
      <selection activeCell="N4" sqref="N4:Q7"/>
    </sheetView>
  </sheetViews>
  <sheetFormatPr defaultRowHeight="12.75" x14ac:dyDescent="0.2"/>
  <cols>
    <col min="1" max="1" width="22" bestFit="1" customWidth="1"/>
    <col min="2" max="5" width="9.28515625" bestFit="1" customWidth="1"/>
    <col min="6" max="6" width="10.42578125" customWidth="1"/>
  </cols>
  <sheetData>
    <row r="2" spans="1:12" x14ac:dyDescent="0.2">
      <c r="A2" s="2" t="s">
        <v>3</v>
      </c>
    </row>
    <row r="4" spans="1:12" x14ac:dyDescent="0.2">
      <c r="A4" s="1" t="s">
        <v>10</v>
      </c>
      <c r="B4" s="4">
        <v>1</v>
      </c>
      <c r="C4" s="4">
        <v>2</v>
      </c>
      <c r="D4" s="4">
        <v>3</v>
      </c>
      <c r="E4" s="4">
        <v>4</v>
      </c>
      <c r="F4" s="3"/>
      <c r="H4" s="13" t="s">
        <v>29</v>
      </c>
      <c r="I4" s="6">
        <f t="array" ref="I4:L7">w(B4:F6,B9:D9,B11:D11)</f>
        <v>0</v>
      </c>
      <c r="J4" s="6">
        <v>46</v>
      </c>
      <c r="K4" s="6">
        <v>0</v>
      </c>
      <c r="L4" s="6">
        <v>0</v>
      </c>
    </row>
    <row r="5" spans="1:12" x14ac:dyDescent="0.2">
      <c r="A5" s="1" t="s">
        <v>8</v>
      </c>
      <c r="B5" s="4">
        <v>2</v>
      </c>
      <c r="C5" s="4">
        <v>4</v>
      </c>
      <c r="D5" s="4">
        <v>1</v>
      </c>
      <c r="E5" s="4">
        <v>2</v>
      </c>
      <c r="F5" s="4">
        <v>3</v>
      </c>
      <c r="I5" s="6">
        <v>0</v>
      </c>
      <c r="J5" s="6">
        <v>0</v>
      </c>
      <c r="K5" s="6">
        <v>34</v>
      </c>
      <c r="L5" s="6">
        <v>22</v>
      </c>
    </row>
    <row r="6" spans="1:12" x14ac:dyDescent="0.2">
      <c r="A6" s="1" t="s">
        <v>9</v>
      </c>
      <c r="B6" s="4">
        <v>3</v>
      </c>
      <c r="C6" s="4">
        <v>4</v>
      </c>
      <c r="D6" s="4">
        <v>1</v>
      </c>
      <c r="E6" s="4">
        <v>2</v>
      </c>
      <c r="F6" s="4">
        <v>4</v>
      </c>
      <c r="I6" s="6">
        <v>0</v>
      </c>
      <c r="J6" s="6">
        <v>0</v>
      </c>
      <c r="K6" s="6">
        <v>0</v>
      </c>
      <c r="L6" s="6">
        <v>36</v>
      </c>
    </row>
    <row r="7" spans="1:12" x14ac:dyDescent="0.2">
      <c r="A7" s="1"/>
      <c r="I7" s="6">
        <v>22</v>
      </c>
      <c r="J7" s="6">
        <v>0</v>
      </c>
      <c r="K7" s="6">
        <v>0</v>
      </c>
      <c r="L7" s="6">
        <v>0</v>
      </c>
    </row>
    <row r="8" spans="1:12" x14ac:dyDescent="0.2">
      <c r="A8" s="1"/>
      <c r="B8" s="3" t="s">
        <v>18</v>
      </c>
      <c r="C8" s="3" t="s">
        <v>19</v>
      </c>
      <c r="D8" s="3" t="s">
        <v>20</v>
      </c>
    </row>
    <row r="9" spans="1:12" x14ac:dyDescent="0.2">
      <c r="A9" s="1" t="s">
        <v>7</v>
      </c>
      <c r="B9" s="4">
        <v>8</v>
      </c>
      <c r="C9" s="4">
        <v>5</v>
      </c>
      <c r="D9" s="4">
        <v>12</v>
      </c>
    </row>
    <row r="10" spans="1:12" x14ac:dyDescent="0.2">
      <c r="A10" s="1"/>
      <c r="B10" s="3"/>
      <c r="C10" s="3"/>
      <c r="D10" s="3"/>
    </row>
    <row r="11" spans="1:12" x14ac:dyDescent="0.2">
      <c r="A11" s="1" t="s">
        <v>0</v>
      </c>
      <c r="B11" s="4">
        <v>3</v>
      </c>
      <c r="C11" s="4">
        <v>2</v>
      </c>
      <c r="D11" s="4">
        <v>1</v>
      </c>
    </row>
    <row r="14" spans="1:12" x14ac:dyDescent="0.2">
      <c r="A14" s="2" t="s">
        <v>1</v>
      </c>
    </row>
    <row r="15" spans="1:12" x14ac:dyDescent="0.2">
      <c r="B15" s="3" t="s">
        <v>11</v>
      </c>
      <c r="C15" s="3" t="s">
        <v>12</v>
      </c>
    </row>
    <row r="16" spans="1:12" x14ac:dyDescent="0.2">
      <c r="A16" s="1" t="s">
        <v>2</v>
      </c>
      <c r="B16" s="5">
        <v>0</v>
      </c>
      <c r="C16" s="5">
        <v>0</v>
      </c>
      <c r="H16" s="14" t="s">
        <v>30</v>
      </c>
      <c r="I16" s="7">
        <f t="array" ref="I16:L19">dist(B16:C19)</f>
        <v>0</v>
      </c>
      <c r="J16" s="7">
        <v>10</v>
      </c>
      <c r="K16" s="7">
        <v>35</v>
      </c>
      <c r="L16" s="7">
        <v>50</v>
      </c>
    </row>
    <row r="17" spans="1:12" x14ac:dyDescent="0.2">
      <c r="B17" s="5">
        <v>10</v>
      </c>
      <c r="C17" s="5">
        <v>0</v>
      </c>
      <c r="I17" s="7">
        <v>10</v>
      </c>
      <c r="J17" s="7">
        <v>0</v>
      </c>
      <c r="K17" s="7">
        <v>25</v>
      </c>
      <c r="L17" s="7">
        <v>40</v>
      </c>
    </row>
    <row r="18" spans="1:12" x14ac:dyDescent="0.2">
      <c r="B18" s="5">
        <v>35</v>
      </c>
      <c r="C18" s="5">
        <v>0</v>
      </c>
      <c r="I18" s="7">
        <v>35</v>
      </c>
      <c r="J18" s="7">
        <v>25</v>
      </c>
      <c r="K18" s="7">
        <v>0</v>
      </c>
      <c r="L18" s="7">
        <v>15</v>
      </c>
    </row>
    <row r="19" spans="1:12" x14ac:dyDescent="0.2">
      <c r="B19" s="5">
        <v>50</v>
      </c>
      <c r="C19" s="5">
        <v>0</v>
      </c>
      <c r="I19" s="7">
        <v>50</v>
      </c>
      <c r="J19" s="7">
        <v>40</v>
      </c>
      <c r="K19" s="7">
        <v>15</v>
      </c>
      <c r="L19" s="7">
        <v>0</v>
      </c>
    </row>
    <row r="22" spans="1:12" x14ac:dyDescent="0.2">
      <c r="A22" s="2" t="s">
        <v>4</v>
      </c>
      <c r="B22" s="30" t="s">
        <v>31</v>
      </c>
      <c r="C22" s="30"/>
      <c r="F22" s="15" t="s">
        <v>6</v>
      </c>
    </row>
    <row r="23" spans="1:12" x14ac:dyDescent="0.2">
      <c r="B23" s="8">
        <f t="array" ref="B23:F23">sdpi(I4:L7,I16:L19)</f>
        <v>3</v>
      </c>
      <c r="C23" s="8">
        <v>4</v>
      </c>
      <c r="D23" s="8">
        <v>2</v>
      </c>
      <c r="E23" s="8">
        <v>1</v>
      </c>
      <c r="F23" s="9">
        <v>3670</v>
      </c>
    </row>
  </sheetData>
  <mergeCells count="1">
    <mergeCell ref="B22:C22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Visio.Drawing.11" shapeId="1032" r:id="rId4">
          <objectPr defaultSize="0" autoPict="0" r:id="rId5">
            <anchor moveWithCells="1">
              <from>
                <xdr:col>0</xdr:col>
                <xdr:colOff>247650</xdr:colOff>
                <xdr:row>26</xdr:row>
                <xdr:rowOff>104775</xdr:rowOff>
              </from>
              <to>
                <xdr:col>11</xdr:col>
                <xdr:colOff>19050</xdr:colOff>
                <xdr:row>29</xdr:row>
                <xdr:rowOff>104775</xdr:rowOff>
              </to>
            </anchor>
          </objectPr>
        </oleObject>
      </mc:Choice>
      <mc:Fallback>
        <oleObject progId="Visio.Drawing.11" shapeId="1032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11"/>
  <sheetViews>
    <sheetView topLeftCell="A70" workbookViewId="0">
      <selection activeCell="H75" sqref="H75:L79"/>
    </sheetView>
  </sheetViews>
  <sheetFormatPr defaultRowHeight="12.75" x14ac:dyDescent="0.2"/>
  <cols>
    <col min="9" max="13" width="9.28515625" bestFit="1" customWidth="1"/>
    <col min="14" max="14" width="12.42578125" bestFit="1" customWidth="1"/>
  </cols>
  <sheetData>
    <row r="1" spans="1:6" ht="15.75" x14ac:dyDescent="0.25">
      <c r="A1" s="16" t="s">
        <v>32</v>
      </c>
      <c r="B1" s="17"/>
      <c r="D1" s="2" t="s">
        <v>33</v>
      </c>
    </row>
    <row r="3" spans="1:6" x14ac:dyDescent="0.2">
      <c r="B3" s="18" t="s">
        <v>29</v>
      </c>
    </row>
    <row r="4" spans="1:6" x14ac:dyDescent="0.2">
      <c r="B4" s="4">
        <v>0</v>
      </c>
      <c r="C4" s="4">
        <v>46</v>
      </c>
      <c r="D4" s="4">
        <v>0</v>
      </c>
      <c r="E4" s="4">
        <v>0</v>
      </c>
      <c r="F4" s="4">
        <v>0</v>
      </c>
    </row>
    <row r="5" spans="1:6" x14ac:dyDescent="0.2">
      <c r="B5" s="4">
        <v>0</v>
      </c>
      <c r="C5" s="4">
        <v>0</v>
      </c>
      <c r="D5" s="4">
        <v>34</v>
      </c>
      <c r="E5" s="4">
        <v>22</v>
      </c>
      <c r="F5" s="4">
        <v>0</v>
      </c>
    </row>
    <row r="6" spans="1:6" x14ac:dyDescent="0.2">
      <c r="B6" s="4">
        <v>0</v>
      </c>
      <c r="C6" s="4">
        <v>0</v>
      </c>
      <c r="D6" s="4">
        <v>0</v>
      </c>
      <c r="E6" s="4">
        <v>36</v>
      </c>
      <c r="F6" s="4">
        <v>0</v>
      </c>
    </row>
    <row r="7" spans="1:6" x14ac:dyDescent="0.2">
      <c r="B7" s="4">
        <v>22</v>
      </c>
      <c r="C7" s="4">
        <v>0</v>
      </c>
      <c r="D7" s="4">
        <v>0</v>
      </c>
      <c r="E7" s="4">
        <v>0</v>
      </c>
      <c r="F7" s="4">
        <v>0</v>
      </c>
    </row>
    <row r="8" spans="1:6" x14ac:dyDescent="0.2"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10" spans="1:6" x14ac:dyDescent="0.2">
      <c r="B10" s="32" t="s">
        <v>2</v>
      </c>
      <c r="C10" s="33"/>
    </row>
    <row r="11" spans="1:6" x14ac:dyDescent="0.2">
      <c r="B11" s="19" t="s">
        <v>11</v>
      </c>
      <c r="C11" s="19" t="s">
        <v>12</v>
      </c>
    </row>
    <row r="12" spans="1:6" x14ac:dyDescent="0.2">
      <c r="B12" s="5">
        <v>33</v>
      </c>
      <c r="C12" s="5">
        <v>80</v>
      </c>
    </row>
    <row r="13" spans="1:6" x14ac:dyDescent="0.2">
      <c r="B13" s="5">
        <v>45</v>
      </c>
      <c r="C13" s="5">
        <v>76</v>
      </c>
    </row>
    <row r="14" spans="1:6" x14ac:dyDescent="0.2">
      <c r="B14" s="5">
        <v>56</v>
      </c>
      <c r="C14" s="5">
        <v>80</v>
      </c>
    </row>
    <row r="15" spans="1:6" x14ac:dyDescent="0.2">
      <c r="B15" s="5">
        <v>52</v>
      </c>
      <c r="C15" s="5">
        <v>90</v>
      </c>
    </row>
    <row r="16" spans="1:6" x14ac:dyDescent="0.2">
      <c r="B16" s="5">
        <v>35</v>
      </c>
      <c r="C16" s="5">
        <v>90</v>
      </c>
    </row>
    <row r="18" spans="1:7" x14ac:dyDescent="0.2">
      <c r="B18" s="20" t="s">
        <v>30</v>
      </c>
    </row>
    <row r="19" spans="1:7" x14ac:dyDescent="0.2">
      <c r="B19" s="21">
        <f t="array" ref="B19:F23">dist(B12:C16,2)</f>
        <v>0</v>
      </c>
      <c r="C19" s="21">
        <v>12.649110640673518</v>
      </c>
      <c r="D19" s="21">
        <v>23</v>
      </c>
      <c r="E19" s="21">
        <v>21.470910553583888</v>
      </c>
      <c r="F19" s="21">
        <v>10.198039027185569</v>
      </c>
    </row>
    <row r="20" spans="1:7" x14ac:dyDescent="0.2">
      <c r="B20" s="21">
        <v>12.649110640673518</v>
      </c>
      <c r="C20" s="21">
        <v>0</v>
      </c>
      <c r="D20" s="21">
        <v>11.704699910719626</v>
      </c>
      <c r="E20" s="21">
        <v>15.652475842498529</v>
      </c>
      <c r="F20" s="21">
        <v>17.204650534085253</v>
      </c>
    </row>
    <row r="21" spans="1:7" x14ac:dyDescent="0.2">
      <c r="B21" s="21">
        <v>23</v>
      </c>
      <c r="C21" s="21">
        <v>11.704699910719626</v>
      </c>
      <c r="D21" s="21">
        <v>0</v>
      </c>
      <c r="E21" s="21">
        <v>10.770329614269007</v>
      </c>
      <c r="F21" s="21">
        <v>23.259406699226016</v>
      </c>
    </row>
    <row r="22" spans="1:7" x14ac:dyDescent="0.2">
      <c r="B22" s="21">
        <v>21.470910553583888</v>
      </c>
      <c r="C22" s="21">
        <v>15.652475842498529</v>
      </c>
      <c r="D22" s="21">
        <v>10.770329614269007</v>
      </c>
      <c r="E22" s="21">
        <v>0</v>
      </c>
      <c r="F22" s="21">
        <v>17</v>
      </c>
    </row>
    <row r="23" spans="1:7" x14ac:dyDescent="0.2">
      <c r="B23" s="21">
        <v>10.198039027185569</v>
      </c>
      <c r="C23" s="21">
        <v>17.204650534085253</v>
      </c>
      <c r="D23" s="21">
        <v>23.259406699226016</v>
      </c>
      <c r="E23" s="21">
        <v>17</v>
      </c>
      <c r="F23" s="21">
        <v>0</v>
      </c>
    </row>
    <row r="25" spans="1:7" x14ac:dyDescent="0.2">
      <c r="B25" s="31" t="s">
        <v>31</v>
      </c>
      <c r="C25" s="31"/>
      <c r="G25" s="22" t="s">
        <v>6</v>
      </c>
    </row>
    <row r="26" spans="1:7" x14ac:dyDescent="0.2">
      <c r="B26" s="8">
        <f t="array" ref="B26:G26">sdpi(B4:F8,B19:F23)</f>
        <v>1</v>
      </c>
      <c r="C26" s="8">
        <v>2</v>
      </c>
      <c r="D26" s="8">
        <v>3</v>
      </c>
      <c r="E26" s="8">
        <v>4</v>
      </c>
      <c r="F26" s="23">
        <v>5</v>
      </c>
      <c r="G26" s="9">
        <v>2184.2652532629463</v>
      </c>
    </row>
    <row r="29" spans="1:7" ht="15.75" x14ac:dyDescent="0.25">
      <c r="A29" s="16" t="s">
        <v>34</v>
      </c>
      <c r="B29" s="17"/>
      <c r="D29" s="2" t="s">
        <v>35</v>
      </c>
    </row>
    <row r="31" spans="1:7" x14ac:dyDescent="0.2">
      <c r="B31" s="18" t="s">
        <v>29</v>
      </c>
    </row>
    <row r="32" spans="1:7" x14ac:dyDescent="0.2">
      <c r="B32" s="4">
        <v>0</v>
      </c>
      <c r="C32" s="4">
        <v>46</v>
      </c>
      <c r="D32" s="4">
        <v>0</v>
      </c>
      <c r="E32" s="4">
        <v>0</v>
      </c>
      <c r="F32" s="4">
        <v>0</v>
      </c>
    </row>
    <row r="33" spans="2:6" x14ac:dyDescent="0.2">
      <c r="B33" s="4">
        <v>0</v>
      </c>
      <c r="C33" s="4">
        <v>0</v>
      </c>
      <c r="D33" s="4">
        <v>34</v>
      </c>
      <c r="E33" s="4">
        <v>22</v>
      </c>
      <c r="F33" s="4">
        <v>0</v>
      </c>
    </row>
    <row r="34" spans="2:6" x14ac:dyDescent="0.2">
      <c r="B34" s="4">
        <v>0</v>
      </c>
      <c r="C34" s="4">
        <v>0</v>
      </c>
      <c r="D34" s="4">
        <v>0</v>
      </c>
      <c r="E34" s="4">
        <v>36</v>
      </c>
      <c r="F34" s="4">
        <v>0</v>
      </c>
    </row>
    <row r="35" spans="2:6" x14ac:dyDescent="0.2">
      <c r="B35" s="4">
        <v>22</v>
      </c>
      <c r="C35" s="4">
        <v>0</v>
      </c>
      <c r="D35" s="4">
        <v>0</v>
      </c>
      <c r="E35" s="4">
        <v>0</v>
      </c>
      <c r="F35" s="4">
        <v>0</v>
      </c>
    </row>
    <row r="36" spans="2:6" x14ac:dyDescent="0.2">
      <c r="B36" s="4">
        <v>0</v>
      </c>
      <c r="C36" s="4">
        <v>0</v>
      </c>
      <c r="D36" s="4">
        <v>0</v>
      </c>
      <c r="E36" s="4">
        <v>0</v>
      </c>
      <c r="F36" s="4">
        <v>0</v>
      </c>
    </row>
    <row r="38" spans="2:6" x14ac:dyDescent="0.2">
      <c r="B38" s="32" t="s">
        <v>2</v>
      </c>
      <c r="C38" s="33"/>
    </row>
    <row r="39" spans="2:6" x14ac:dyDescent="0.2">
      <c r="B39" s="19" t="s">
        <v>11</v>
      </c>
      <c r="C39" s="19" t="s">
        <v>12</v>
      </c>
    </row>
    <row r="40" spans="2:6" x14ac:dyDescent="0.2">
      <c r="B40" s="5">
        <v>0</v>
      </c>
      <c r="C40" s="5">
        <v>0</v>
      </c>
    </row>
    <row r="41" spans="2:6" x14ac:dyDescent="0.2">
      <c r="B41" s="5">
        <v>90</v>
      </c>
      <c r="C41" s="5">
        <v>0</v>
      </c>
    </row>
    <row r="42" spans="2:6" x14ac:dyDescent="0.2">
      <c r="B42" s="5">
        <v>0</v>
      </c>
      <c r="C42" s="5">
        <v>40</v>
      </c>
    </row>
    <row r="43" spans="2:6" x14ac:dyDescent="0.2">
      <c r="B43" s="5">
        <v>50</v>
      </c>
      <c r="C43" s="5">
        <v>40</v>
      </c>
    </row>
    <row r="44" spans="2:6" x14ac:dyDescent="0.2">
      <c r="B44" s="5">
        <v>90</v>
      </c>
      <c r="C44" s="5">
        <v>40</v>
      </c>
    </row>
    <row r="46" spans="2:6" x14ac:dyDescent="0.2">
      <c r="B46" s="20" t="s">
        <v>30</v>
      </c>
    </row>
    <row r="47" spans="2:6" x14ac:dyDescent="0.2">
      <c r="B47" s="24">
        <f t="array" ref="B47:F51">dist(B40:C44,1)</f>
        <v>0</v>
      </c>
      <c r="C47" s="24">
        <v>90</v>
      </c>
      <c r="D47" s="24">
        <v>40</v>
      </c>
      <c r="E47" s="24">
        <v>90</v>
      </c>
      <c r="F47" s="24">
        <v>130</v>
      </c>
    </row>
    <row r="48" spans="2:6" x14ac:dyDescent="0.2">
      <c r="B48" s="24">
        <v>90</v>
      </c>
      <c r="C48" s="24">
        <v>0</v>
      </c>
      <c r="D48" s="24">
        <v>130</v>
      </c>
      <c r="E48" s="24">
        <v>80</v>
      </c>
      <c r="F48" s="24">
        <v>40</v>
      </c>
    </row>
    <row r="49" spans="1:7" x14ac:dyDescent="0.2">
      <c r="B49" s="24">
        <v>40</v>
      </c>
      <c r="C49" s="24">
        <v>130</v>
      </c>
      <c r="D49" s="24">
        <v>0</v>
      </c>
      <c r="E49" s="24">
        <v>50</v>
      </c>
      <c r="F49" s="24">
        <v>90</v>
      </c>
    </row>
    <row r="50" spans="1:7" x14ac:dyDescent="0.2">
      <c r="B50" s="24">
        <v>90</v>
      </c>
      <c r="C50" s="24">
        <v>80</v>
      </c>
      <c r="D50" s="24">
        <v>50</v>
      </c>
      <c r="E50" s="24">
        <v>0</v>
      </c>
      <c r="F50" s="24">
        <v>40</v>
      </c>
    </row>
    <row r="51" spans="1:7" x14ac:dyDescent="0.2">
      <c r="B51" s="24">
        <v>130</v>
      </c>
      <c r="C51" s="24">
        <v>40</v>
      </c>
      <c r="D51" s="24">
        <v>90</v>
      </c>
      <c r="E51" s="24">
        <v>40</v>
      </c>
      <c r="F51" s="24">
        <v>0</v>
      </c>
    </row>
    <row r="53" spans="1:7" x14ac:dyDescent="0.2">
      <c r="B53" s="31" t="s">
        <v>31</v>
      </c>
      <c r="C53" s="31"/>
      <c r="G53" s="22" t="s">
        <v>6</v>
      </c>
    </row>
    <row r="54" spans="1:7" x14ac:dyDescent="0.2">
      <c r="B54" s="8">
        <f t="array" ref="B54:G54">sdpi(B32:F36,B47:F51)</f>
        <v>5</v>
      </c>
      <c r="C54" s="8">
        <v>3</v>
      </c>
      <c r="D54" s="8">
        <v>1</v>
      </c>
      <c r="E54" s="8">
        <v>2</v>
      </c>
      <c r="F54" s="23">
        <v>4</v>
      </c>
      <c r="G54" s="9">
        <v>9320</v>
      </c>
    </row>
    <row r="57" spans="1:7" ht="15.75" x14ac:dyDescent="0.25">
      <c r="A57" s="16" t="s">
        <v>36</v>
      </c>
      <c r="B57" s="17"/>
      <c r="D57" s="2" t="s">
        <v>37</v>
      </c>
    </row>
    <row r="59" spans="1:7" x14ac:dyDescent="0.2">
      <c r="B59" s="18" t="s">
        <v>29</v>
      </c>
    </row>
    <row r="60" spans="1:7" x14ac:dyDescent="0.2">
      <c r="B60" s="4">
        <v>0</v>
      </c>
      <c r="C60" s="4">
        <v>46</v>
      </c>
      <c r="D60" s="4">
        <v>0</v>
      </c>
      <c r="E60" s="4">
        <v>0</v>
      </c>
      <c r="F60" s="4">
        <v>0</v>
      </c>
    </row>
    <row r="61" spans="1:7" x14ac:dyDescent="0.2">
      <c r="B61" s="4">
        <v>0</v>
      </c>
      <c r="C61" s="4">
        <v>0</v>
      </c>
      <c r="D61" s="4">
        <v>34</v>
      </c>
      <c r="E61" s="4">
        <v>22</v>
      </c>
      <c r="F61" s="4">
        <v>0</v>
      </c>
    </row>
    <row r="62" spans="1:7" x14ac:dyDescent="0.2">
      <c r="B62" s="4">
        <v>0</v>
      </c>
      <c r="C62" s="4">
        <v>0</v>
      </c>
      <c r="D62" s="4">
        <v>0</v>
      </c>
      <c r="E62" s="4">
        <v>36</v>
      </c>
      <c r="F62" s="4">
        <v>0</v>
      </c>
    </row>
    <row r="63" spans="1:7" x14ac:dyDescent="0.2">
      <c r="B63" s="4">
        <v>22</v>
      </c>
      <c r="C63" s="4">
        <v>0</v>
      </c>
      <c r="D63" s="4">
        <v>0</v>
      </c>
      <c r="E63" s="4">
        <v>0</v>
      </c>
      <c r="F63" s="4">
        <v>0</v>
      </c>
    </row>
    <row r="64" spans="1:7" x14ac:dyDescent="0.2">
      <c r="B64" s="4">
        <v>0</v>
      </c>
      <c r="C64" s="4">
        <v>0</v>
      </c>
      <c r="D64" s="4">
        <v>0</v>
      </c>
      <c r="E64" s="4">
        <v>0</v>
      </c>
      <c r="F64" s="4">
        <v>0</v>
      </c>
    </row>
    <row r="66" spans="2:6" x14ac:dyDescent="0.2">
      <c r="B66" s="20" t="s">
        <v>38</v>
      </c>
    </row>
    <row r="67" spans="2:6" x14ac:dyDescent="0.2">
      <c r="B67" s="19" t="s">
        <v>15</v>
      </c>
      <c r="C67" s="19" t="s">
        <v>16</v>
      </c>
      <c r="D67" s="19" t="s">
        <v>17</v>
      </c>
    </row>
    <row r="68" spans="2:6" x14ac:dyDescent="0.2">
      <c r="B68" s="5">
        <v>1</v>
      </c>
      <c r="C68" s="5">
        <v>2</v>
      </c>
      <c r="D68" s="5">
        <v>9</v>
      </c>
    </row>
    <row r="69" spans="2:6" x14ac:dyDescent="0.2">
      <c r="B69" s="5">
        <v>2</v>
      </c>
      <c r="C69" s="5">
        <v>3</v>
      </c>
      <c r="D69" s="5">
        <v>18</v>
      </c>
    </row>
    <row r="70" spans="2:6" x14ac:dyDescent="0.2">
      <c r="B70" s="5">
        <v>3</v>
      </c>
      <c r="C70" s="5">
        <v>4</v>
      </c>
      <c r="D70" s="5">
        <v>16</v>
      </c>
    </row>
    <row r="71" spans="2:6" x14ac:dyDescent="0.2">
      <c r="B71" s="5">
        <v>4</v>
      </c>
      <c r="C71" s="5">
        <v>5</v>
      </c>
      <c r="D71" s="5">
        <v>12</v>
      </c>
    </row>
    <row r="72" spans="2:6" x14ac:dyDescent="0.2">
      <c r="B72" s="5">
        <v>5</v>
      </c>
      <c r="C72" s="5">
        <v>1</v>
      </c>
      <c r="D72" s="5">
        <v>17</v>
      </c>
    </row>
    <row r="74" spans="2:6" x14ac:dyDescent="0.2">
      <c r="B74" s="20" t="s">
        <v>30</v>
      </c>
    </row>
    <row r="75" spans="2:6" x14ac:dyDescent="0.2">
      <c r="B75" s="7">
        <f t="array" ref="B75:F79">dijk(B68:D72)</f>
        <v>0</v>
      </c>
      <c r="C75" s="7">
        <v>9</v>
      </c>
      <c r="D75" s="7">
        <v>27</v>
      </c>
      <c r="E75" s="7">
        <v>43</v>
      </c>
      <c r="F75" s="7">
        <v>55</v>
      </c>
    </row>
    <row r="76" spans="2:6" x14ac:dyDescent="0.2">
      <c r="B76" s="7">
        <v>63</v>
      </c>
      <c r="C76" s="7">
        <v>0</v>
      </c>
      <c r="D76" s="7">
        <v>18</v>
      </c>
      <c r="E76" s="7">
        <v>34</v>
      </c>
      <c r="F76" s="7">
        <v>46</v>
      </c>
    </row>
    <row r="77" spans="2:6" x14ac:dyDescent="0.2">
      <c r="B77" s="7">
        <v>45</v>
      </c>
      <c r="C77" s="7">
        <v>54</v>
      </c>
      <c r="D77" s="7">
        <v>0</v>
      </c>
      <c r="E77" s="7">
        <v>16</v>
      </c>
      <c r="F77" s="7">
        <v>28</v>
      </c>
    </row>
    <row r="78" spans="2:6" x14ac:dyDescent="0.2">
      <c r="B78" s="7">
        <v>29</v>
      </c>
      <c r="C78" s="7">
        <v>38</v>
      </c>
      <c r="D78" s="7">
        <v>56</v>
      </c>
      <c r="E78" s="7">
        <v>0</v>
      </c>
      <c r="F78" s="7">
        <v>12</v>
      </c>
    </row>
    <row r="79" spans="2:6" x14ac:dyDescent="0.2">
      <c r="B79" s="7">
        <v>17</v>
      </c>
      <c r="C79" s="7">
        <v>26</v>
      </c>
      <c r="D79" s="7">
        <v>44</v>
      </c>
      <c r="E79" s="7">
        <v>60</v>
      </c>
      <c r="F79" s="7">
        <v>0</v>
      </c>
    </row>
    <row r="81" spans="1:7" x14ac:dyDescent="0.2">
      <c r="B81" s="31" t="s">
        <v>31</v>
      </c>
      <c r="C81" s="31"/>
      <c r="G81" s="22" t="s">
        <v>6</v>
      </c>
    </row>
    <row r="82" spans="1:7" x14ac:dyDescent="0.2">
      <c r="B82" s="8">
        <f t="array" ref="B82:G82">sdpi(B60:F64,B75:F79)</f>
        <v>3</v>
      </c>
      <c r="C82" s="8">
        <v>4</v>
      </c>
      <c r="D82" s="8">
        <v>5</v>
      </c>
      <c r="E82" s="8">
        <v>1</v>
      </c>
      <c r="F82" s="23">
        <v>2</v>
      </c>
      <c r="G82" s="9">
        <v>2774</v>
      </c>
    </row>
    <row r="85" spans="1:7" ht="15.75" x14ac:dyDescent="0.25">
      <c r="A85" s="16" t="s">
        <v>39</v>
      </c>
      <c r="B85" s="17"/>
      <c r="D85" s="2" t="s">
        <v>40</v>
      </c>
    </row>
    <row r="87" spans="1:7" x14ac:dyDescent="0.2">
      <c r="B87" s="18" t="s">
        <v>29</v>
      </c>
    </row>
    <row r="88" spans="1:7" x14ac:dyDescent="0.2">
      <c r="B88" s="4">
        <v>0</v>
      </c>
      <c r="C88" s="4">
        <v>46</v>
      </c>
      <c r="D88" s="4">
        <v>0</v>
      </c>
      <c r="E88" s="4">
        <v>0</v>
      </c>
      <c r="F88" s="4">
        <v>0</v>
      </c>
    </row>
    <row r="89" spans="1:7" x14ac:dyDescent="0.2">
      <c r="B89" s="4">
        <v>0</v>
      </c>
      <c r="C89" s="4">
        <v>0</v>
      </c>
      <c r="D89" s="4">
        <v>34</v>
      </c>
      <c r="E89" s="4">
        <v>22</v>
      </c>
      <c r="F89" s="4">
        <v>0</v>
      </c>
    </row>
    <row r="90" spans="1:7" x14ac:dyDescent="0.2">
      <c r="B90" s="4">
        <v>0</v>
      </c>
      <c r="C90" s="4">
        <v>0</v>
      </c>
      <c r="D90" s="4">
        <v>0</v>
      </c>
      <c r="E90" s="4">
        <v>36</v>
      </c>
      <c r="F90" s="4">
        <v>0</v>
      </c>
    </row>
    <row r="91" spans="1:7" x14ac:dyDescent="0.2">
      <c r="B91" s="4">
        <v>22</v>
      </c>
      <c r="C91" s="4">
        <v>0</v>
      </c>
      <c r="D91" s="4">
        <v>0</v>
      </c>
      <c r="E91" s="4">
        <v>0</v>
      </c>
      <c r="F91" s="4">
        <v>0</v>
      </c>
    </row>
    <row r="92" spans="1:7" x14ac:dyDescent="0.2">
      <c r="B92" s="4">
        <v>0</v>
      </c>
      <c r="C92" s="4">
        <v>0</v>
      </c>
      <c r="D92" s="4">
        <v>0</v>
      </c>
      <c r="E92" s="4">
        <v>0</v>
      </c>
      <c r="F92" s="4">
        <v>0</v>
      </c>
    </row>
    <row r="94" spans="1:7" x14ac:dyDescent="0.2">
      <c r="B94" s="20" t="s">
        <v>38</v>
      </c>
    </row>
    <row r="95" spans="1:7" x14ac:dyDescent="0.2">
      <c r="B95" s="19" t="s">
        <v>15</v>
      </c>
      <c r="C95" s="19" t="s">
        <v>16</v>
      </c>
      <c r="D95" s="19" t="s">
        <v>17</v>
      </c>
    </row>
    <row r="96" spans="1:7" x14ac:dyDescent="0.2">
      <c r="B96" s="5">
        <v>1</v>
      </c>
      <c r="C96" s="5">
        <v>-2</v>
      </c>
      <c r="D96" s="5">
        <v>52</v>
      </c>
    </row>
    <row r="97" spans="2:7" x14ac:dyDescent="0.2">
      <c r="B97" s="5">
        <v>1</v>
      </c>
      <c r="C97" s="5">
        <v>-3</v>
      </c>
      <c r="D97" s="5">
        <v>54</v>
      </c>
    </row>
    <row r="98" spans="2:7" x14ac:dyDescent="0.2">
      <c r="B98" s="5">
        <v>1</v>
      </c>
      <c r="C98" s="5">
        <v>-4</v>
      </c>
      <c r="D98" s="5">
        <v>55</v>
      </c>
    </row>
    <row r="99" spans="2:7" x14ac:dyDescent="0.2">
      <c r="B99" s="5">
        <v>2</v>
      </c>
      <c r="C99" s="5">
        <v>-3</v>
      </c>
      <c r="D99" s="5">
        <v>30</v>
      </c>
    </row>
    <row r="100" spans="2:7" x14ac:dyDescent="0.2">
      <c r="B100" s="5">
        <v>3</v>
      </c>
      <c r="C100" s="5">
        <v>-5</v>
      </c>
      <c r="D100" s="5">
        <v>25</v>
      </c>
    </row>
    <row r="101" spans="2:7" x14ac:dyDescent="0.2">
      <c r="B101" s="5">
        <v>4</v>
      </c>
      <c r="C101" s="5">
        <v>-5</v>
      </c>
      <c r="D101" s="5">
        <v>40</v>
      </c>
    </row>
    <row r="103" spans="2:7" x14ac:dyDescent="0.2">
      <c r="B103" s="20" t="s">
        <v>30</v>
      </c>
    </row>
    <row r="104" spans="2:7" x14ac:dyDescent="0.2">
      <c r="B104" s="7">
        <f t="array" ref="B104:F108">dijk(B96:D101)</f>
        <v>0</v>
      </c>
      <c r="C104" s="7">
        <v>52</v>
      </c>
      <c r="D104" s="7">
        <v>54</v>
      </c>
      <c r="E104" s="7">
        <v>55</v>
      </c>
      <c r="F104" s="7">
        <v>79</v>
      </c>
    </row>
    <row r="105" spans="2:7" x14ac:dyDescent="0.2">
      <c r="B105" s="7">
        <v>52</v>
      </c>
      <c r="C105" s="7">
        <v>0</v>
      </c>
      <c r="D105" s="7">
        <v>30</v>
      </c>
      <c r="E105" s="7">
        <v>95</v>
      </c>
      <c r="F105" s="7">
        <v>55</v>
      </c>
    </row>
    <row r="106" spans="2:7" x14ac:dyDescent="0.2">
      <c r="B106" s="7">
        <v>54</v>
      </c>
      <c r="C106" s="7">
        <v>30</v>
      </c>
      <c r="D106" s="7">
        <v>0</v>
      </c>
      <c r="E106" s="7">
        <v>65</v>
      </c>
      <c r="F106" s="7">
        <v>25</v>
      </c>
    </row>
    <row r="107" spans="2:7" x14ac:dyDescent="0.2">
      <c r="B107" s="7">
        <v>55</v>
      </c>
      <c r="C107" s="7">
        <v>95</v>
      </c>
      <c r="D107" s="7">
        <v>65</v>
      </c>
      <c r="E107" s="7">
        <v>0</v>
      </c>
      <c r="F107" s="7">
        <v>40</v>
      </c>
    </row>
    <row r="108" spans="2:7" x14ac:dyDescent="0.2">
      <c r="B108" s="7">
        <v>79</v>
      </c>
      <c r="C108" s="7">
        <v>55</v>
      </c>
      <c r="D108" s="7">
        <v>25</v>
      </c>
      <c r="E108" s="7">
        <v>40</v>
      </c>
      <c r="F108" s="7">
        <v>0</v>
      </c>
    </row>
    <row r="110" spans="2:7" x14ac:dyDescent="0.2">
      <c r="B110" s="31" t="s">
        <v>31</v>
      </c>
      <c r="C110" s="31"/>
      <c r="G110" s="22" t="s">
        <v>6</v>
      </c>
    </row>
    <row r="111" spans="2:7" x14ac:dyDescent="0.2">
      <c r="B111" s="8">
        <f t="array" ref="B111:G111">sdpi(B88:F92,B104:F108)</f>
        <v>3</v>
      </c>
      <c r="C111" s="8">
        <v>4</v>
      </c>
      <c r="D111" s="8">
        <v>2</v>
      </c>
      <c r="E111" s="8">
        <v>5</v>
      </c>
      <c r="F111" s="23">
        <v>1</v>
      </c>
      <c r="G111" s="9">
        <v>6728</v>
      </c>
    </row>
  </sheetData>
  <mergeCells count="6">
    <mergeCell ref="B81:C81"/>
    <mergeCell ref="B110:C110"/>
    <mergeCell ref="B10:C10"/>
    <mergeCell ref="B25:C25"/>
    <mergeCell ref="B38:C38"/>
    <mergeCell ref="B53:C53"/>
  </mergeCells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M29"/>
  <sheetViews>
    <sheetView topLeftCell="A13" workbookViewId="0">
      <selection activeCell="J5" sqref="J5"/>
    </sheetView>
  </sheetViews>
  <sheetFormatPr defaultRowHeight="12.75" x14ac:dyDescent="0.2"/>
  <cols>
    <col min="1" max="1" width="22" bestFit="1" customWidth="1"/>
  </cols>
  <sheetData>
    <row r="2" spans="1:13" x14ac:dyDescent="0.2">
      <c r="A2" s="2" t="s">
        <v>3</v>
      </c>
      <c r="K2" s="12" t="s">
        <v>24</v>
      </c>
    </row>
    <row r="3" spans="1:13" x14ac:dyDescent="0.2">
      <c r="H3" s="3"/>
      <c r="I3" s="3">
        <v>1</v>
      </c>
      <c r="J3" s="3">
        <v>2</v>
      </c>
      <c r="K3" s="3">
        <v>3</v>
      </c>
      <c r="L3" s="3">
        <v>4</v>
      </c>
      <c r="M3" s="3">
        <v>5</v>
      </c>
    </row>
    <row r="4" spans="1:13" x14ac:dyDescent="0.2">
      <c r="A4" s="1" t="s">
        <v>23</v>
      </c>
      <c r="B4" s="4">
        <v>1</v>
      </c>
      <c r="C4" s="4">
        <v>3</v>
      </c>
      <c r="D4" s="4">
        <v>2</v>
      </c>
      <c r="E4" s="3"/>
      <c r="F4" s="3"/>
      <c r="H4" s="3">
        <v>1</v>
      </c>
      <c r="I4" s="6">
        <f t="array" ref="I4:M8">w(Route_Input,Frequency,Handling_Cost)</f>
        <v>0</v>
      </c>
      <c r="J4" s="6">
        <v>0</v>
      </c>
      <c r="K4" s="6">
        <v>93.699999999999989</v>
      </c>
      <c r="L4" s="6">
        <v>47.3</v>
      </c>
      <c r="M4" s="6">
        <v>0</v>
      </c>
    </row>
    <row r="5" spans="1:13" x14ac:dyDescent="0.2">
      <c r="A5" s="1" t="s">
        <v>8</v>
      </c>
      <c r="B5" s="4">
        <v>4</v>
      </c>
      <c r="C5" s="4">
        <v>5</v>
      </c>
      <c r="D5" s="4">
        <v>2</v>
      </c>
      <c r="E5" s="4">
        <v>3</v>
      </c>
      <c r="F5" s="3"/>
      <c r="H5" s="10">
        <v>2</v>
      </c>
      <c r="I5" s="6">
        <v>43.699999999999996</v>
      </c>
      <c r="J5" s="6">
        <v>0</v>
      </c>
      <c r="K5" s="6">
        <v>186.7</v>
      </c>
      <c r="L5" s="6">
        <v>0</v>
      </c>
      <c r="M5" s="6">
        <v>0</v>
      </c>
    </row>
    <row r="6" spans="1:13" x14ac:dyDescent="0.2">
      <c r="A6" s="1" t="s">
        <v>9</v>
      </c>
      <c r="B6" s="4">
        <v>5</v>
      </c>
      <c r="C6" s="4">
        <v>2</v>
      </c>
      <c r="D6" s="4">
        <v>3</v>
      </c>
      <c r="E6" s="4">
        <v>1</v>
      </c>
      <c r="F6" s="4">
        <v>4</v>
      </c>
      <c r="H6" s="10">
        <v>3</v>
      </c>
      <c r="I6" s="6">
        <v>47.3</v>
      </c>
      <c r="J6" s="6">
        <v>50</v>
      </c>
      <c r="K6" s="6">
        <v>0</v>
      </c>
      <c r="L6" s="6">
        <v>0</v>
      </c>
      <c r="M6" s="6">
        <v>43.699999999999996</v>
      </c>
    </row>
    <row r="7" spans="1:13" x14ac:dyDescent="0.2">
      <c r="A7" s="1" t="s">
        <v>13</v>
      </c>
      <c r="B7" s="4">
        <v>4</v>
      </c>
      <c r="C7" s="4">
        <v>2</v>
      </c>
      <c r="D7" s="3"/>
      <c r="E7" s="3"/>
      <c r="F7" s="3"/>
      <c r="H7" s="11">
        <v>4</v>
      </c>
      <c r="I7" s="6">
        <v>0</v>
      </c>
      <c r="J7" s="6">
        <v>56</v>
      </c>
      <c r="K7" s="6">
        <v>0</v>
      </c>
      <c r="L7" s="6">
        <v>0</v>
      </c>
      <c r="M7" s="6">
        <v>139.39999999999998</v>
      </c>
    </row>
    <row r="8" spans="1:13" x14ac:dyDescent="0.2">
      <c r="A8" s="1" t="s">
        <v>14</v>
      </c>
      <c r="B8" s="4">
        <v>2</v>
      </c>
      <c r="C8" s="4">
        <v>1</v>
      </c>
      <c r="D8" s="4">
        <v>3</v>
      </c>
      <c r="E8" s="4">
        <v>5</v>
      </c>
      <c r="F8" s="3"/>
      <c r="H8" s="10">
        <v>5</v>
      </c>
      <c r="I8" s="6">
        <v>0</v>
      </c>
      <c r="J8" s="6">
        <v>186.7</v>
      </c>
      <c r="K8" s="6">
        <v>0</v>
      </c>
      <c r="L8" s="6">
        <v>0</v>
      </c>
      <c r="M8" s="6">
        <v>0</v>
      </c>
    </row>
    <row r="9" spans="1:13" x14ac:dyDescent="0.2">
      <c r="A9" s="1"/>
      <c r="B9" s="3"/>
      <c r="C9" s="3"/>
      <c r="D9" s="3"/>
      <c r="E9" s="3"/>
      <c r="F9" s="3"/>
    </row>
    <row r="10" spans="1:13" x14ac:dyDescent="0.2">
      <c r="A10" s="1"/>
      <c r="B10" s="3" t="s">
        <v>18</v>
      </c>
      <c r="C10" s="3" t="s">
        <v>19</v>
      </c>
      <c r="D10" s="3" t="s">
        <v>20</v>
      </c>
      <c r="E10" s="3" t="s">
        <v>21</v>
      </c>
      <c r="F10" s="3" t="s">
        <v>22</v>
      </c>
      <c r="G10" s="3"/>
    </row>
    <row r="11" spans="1:13" x14ac:dyDescent="0.2">
      <c r="A11" s="1" t="s">
        <v>7</v>
      </c>
      <c r="B11" s="4">
        <v>20</v>
      </c>
      <c r="C11" s="4">
        <v>17</v>
      </c>
      <c r="D11" s="4">
        <v>11</v>
      </c>
      <c r="E11" s="4">
        <v>8</v>
      </c>
      <c r="F11" s="4">
        <v>23</v>
      </c>
    </row>
    <row r="12" spans="1:13" x14ac:dyDescent="0.2">
      <c r="A12" s="1"/>
      <c r="B12" s="3"/>
      <c r="C12" s="3"/>
      <c r="D12" s="3"/>
      <c r="E12" s="3"/>
      <c r="F12" s="3"/>
    </row>
    <row r="13" spans="1:13" x14ac:dyDescent="0.2">
      <c r="A13" s="1" t="s">
        <v>0</v>
      </c>
      <c r="B13" s="4">
        <v>2.5</v>
      </c>
      <c r="C13" s="4">
        <v>8.1999999999999993</v>
      </c>
      <c r="D13" s="4">
        <v>4.3</v>
      </c>
      <c r="E13" s="4">
        <v>7</v>
      </c>
      <c r="F13" s="4">
        <v>1.9</v>
      </c>
    </row>
    <row r="16" spans="1:13" x14ac:dyDescent="0.2">
      <c r="A16" s="2" t="s">
        <v>1</v>
      </c>
      <c r="K16" s="12" t="s">
        <v>25</v>
      </c>
    </row>
    <row r="17" spans="1:13" x14ac:dyDescent="0.2">
      <c r="B17" s="3" t="s">
        <v>15</v>
      </c>
      <c r="C17" s="3" t="s">
        <v>16</v>
      </c>
      <c r="D17" s="3" t="s">
        <v>17</v>
      </c>
      <c r="H17" s="3"/>
      <c r="I17" s="3">
        <v>1</v>
      </c>
      <c r="J17" s="3">
        <v>2</v>
      </c>
      <c r="K17" s="3">
        <v>3</v>
      </c>
      <c r="L17" s="3">
        <v>4</v>
      </c>
      <c r="M17" s="3">
        <v>5</v>
      </c>
    </row>
    <row r="18" spans="1:13" x14ac:dyDescent="0.2">
      <c r="A18" s="1" t="s">
        <v>2</v>
      </c>
      <c r="B18" s="7">
        <v>1</v>
      </c>
      <c r="C18" s="7">
        <v>-2</v>
      </c>
      <c r="D18" s="7">
        <v>15</v>
      </c>
      <c r="H18" s="3">
        <v>1</v>
      </c>
      <c r="I18" s="7">
        <f t="array" ref="I18:M22">dijk(Paths)</f>
        <v>0</v>
      </c>
      <c r="J18" s="7">
        <v>15</v>
      </c>
      <c r="K18" s="7">
        <v>60</v>
      </c>
      <c r="L18" s="7">
        <v>21</v>
      </c>
      <c r="M18" s="7">
        <v>54</v>
      </c>
    </row>
    <row r="19" spans="1:13" x14ac:dyDescent="0.2">
      <c r="B19" s="7">
        <v>1</v>
      </c>
      <c r="C19" s="7">
        <v>-3</v>
      </c>
      <c r="D19" s="7">
        <v>60</v>
      </c>
      <c r="H19" s="10">
        <v>2</v>
      </c>
      <c r="I19" s="7">
        <v>15</v>
      </c>
      <c r="J19" s="7">
        <v>0</v>
      </c>
      <c r="K19" s="7">
        <v>47</v>
      </c>
      <c r="L19" s="7">
        <v>16</v>
      </c>
      <c r="M19" s="7">
        <v>39</v>
      </c>
    </row>
    <row r="20" spans="1:13" x14ac:dyDescent="0.2">
      <c r="B20" s="7">
        <v>1</v>
      </c>
      <c r="C20" s="7">
        <v>-4</v>
      </c>
      <c r="D20" s="7">
        <v>21</v>
      </c>
      <c r="H20" s="10">
        <v>3</v>
      </c>
      <c r="I20" s="7">
        <v>60</v>
      </c>
      <c r="J20" s="7">
        <v>47</v>
      </c>
      <c r="K20" s="7">
        <v>0</v>
      </c>
      <c r="L20" s="7">
        <v>55</v>
      </c>
      <c r="M20" s="7">
        <v>8</v>
      </c>
    </row>
    <row r="21" spans="1:13" x14ac:dyDescent="0.2">
      <c r="B21" s="7">
        <v>2</v>
      </c>
      <c r="C21" s="7">
        <v>-4</v>
      </c>
      <c r="D21" s="7">
        <v>16</v>
      </c>
      <c r="H21" s="11">
        <v>4</v>
      </c>
      <c r="I21" s="7">
        <v>21</v>
      </c>
      <c r="J21" s="7">
        <v>16</v>
      </c>
      <c r="K21" s="7">
        <v>55</v>
      </c>
      <c r="L21" s="7">
        <v>0</v>
      </c>
      <c r="M21" s="7">
        <v>47</v>
      </c>
    </row>
    <row r="22" spans="1:13" x14ac:dyDescent="0.2">
      <c r="B22" s="7">
        <v>2</v>
      </c>
      <c r="C22" s="7">
        <v>-5</v>
      </c>
      <c r="D22" s="7">
        <v>39</v>
      </c>
      <c r="H22" s="10">
        <v>5</v>
      </c>
      <c r="I22" s="7">
        <v>54</v>
      </c>
      <c r="J22" s="7">
        <v>39</v>
      </c>
      <c r="K22" s="7">
        <v>8</v>
      </c>
      <c r="L22" s="7">
        <v>47</v>
      </c>
      <c r="M22" s="7">
        <v>0</v>
      </c>
    </row>
    <row r="23" spans="1:13" x14ac:dyDescent="0.2">
      <c r="B23" s="7">
        <v>3</v>
      </c>
      <c r="C23" s="7">
        <v>-5</v>
      </c>
      <c r="D23" s="7">
        <v>8</v>
      </c>
    </row>
    <row r="24" spans="1:13" x14ac:dyDescent="0.2">
      <c r="B24" s="7">
        <v>4</v>
      </c>
      <c r="C24" s="7">
        <v>-5</v>
      </c>
      <c r="D24" s="7">
        <v>47</v>
      </c>
    </row>
    <row r="27" spans="1:13" x14ac:dyDescent="0.2">
      <c r="A27" s="2" t="s">
        <v>4</v>
      </c>
    </row>
    <row r="28" spans="1:13" x14ac:dyDescent="0.2">
      <c r="B28" t="s">
        <v>5</v>
      </c>
      <c r="G28" t="s">
        <v>6</v>
      </c>
    </row>
    <row r="29" spans="1:13" x14ac:dyDescent="0.2">
      <c r="B29" s="8">
        <f t="array" ref="B29:G29">sdpi(W_Matrix,D_Matrix)</f>
        <v>3</v>
      </c>
      <c r="C29" s="8">
        <v>2</v>
      </c>
      <c r="D29" s="8">
        <v>4</v>
      </c>
      <c r="E29" s="8">
        <v>1</v>
      </c>
      <c r="F29" s="8">
        <v>5</v>
      </c>
      <c r="G29" s="9">
        <v>23200.5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Visio.Drawing.11" shapeId="2049" r:id="rId4">
          <objectPr defaultSize="0" autoPict="0" r:id="rId5">
            <anchor moveWithCells="1">
              <from>
                <xdr:col>0</xdr:col>
                <xdr:colOff>266700</xdr:colOff>
                <xdr:row>30</xdr:row>
                <xdr:rowOff>19050</xdr:rowOff>
              </from>
              <to>
                <xdr:col>7</xdr:col>
                <xdr:colOff>0</xdr:colOff>
                <xdr:row>44</xdr:row>
                <xdr:rowOff>47625</xdr:rowOff>
              </to>
            </anchor>
          </objectPr>
        </oleObject>
      </mc:Choice>
      <mc:Fallback>
        <oleObject progId="Visio.Drawing.11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>
      <selection activeCell="B19" sqref="B19"/>
    </sheetView>
  </sheetViews>
  <sheetFormatPr defaultRowHeight="12.75" x14ac:dyDescent="0.2"/>
  <cols>
    <col min="1" max="1" width="14.7109375" customWidth="1"/>
  </cols>
  <sheetData>
    <row r="1" spans="1:10" x14ac:dyDescent="0.2">
      <c r="A1" s="2" t="s">
        <v>54</v>
      </c>
    </row>
    <row r="3" spans="1:10" x14ac:dyDescent="0.2">
      <c r="A3" s="26" t="s">
        <v>53</v>
      </c>
      <c r="B3" s="4">
        <v>4</v>
      </c>
      <c r="C3" s="4">
        <v>3</v>
      </c>
      <c r="D3" s="4"/>
      <c r="E3" s="4"/>
      <c r="F3" s="4"/>
      <c r="G3" s="4"/>
      <c r="H3" s="4"/>
      <c r="I3" s="4"/>
      <c r="J3" s="4"/>
    </row>
    <row r="4" spans="1:10" x14ac:dyDescent="0.2">
      <c r="A4" s="26" t="s">
        <v>48</v>
      </c>
      <c r="B4" s="4">
        <v>7</v>
      </c>
      <c r="C4" s="4">
        <v>4</v>
      </c>
      <c r="D4" s="4">
        <v>5</v>
      </c>
      <c r="E4" s="4">
        <v>1</v>
      </c>
      <c r="F4" s="4"/>
      <c r="G4" s="4"/>
      <c r="H4" s="4"/>
      <c r="I4" s="4"/>
      <c r="J4" s="4"/>
    </row>
    <row r="5" spans="1:10" x14ac:dyDescent="0.2">
      <c r="A5" s="26" t="s">
        <v>49</v>
      </c>
      <c r="B5" s="4">
        <v>7</v>
      </c>
      <c r="C5" s="4">
        <v>1</v>
      </c>
      <c r="D5" s="4">
        <v>7</v>
      </c>
      <c r="E5" s="4">
        <v>4</v>
      </c>
      <c r="F5" s="4">
        <v>7</v>
      </c>
      <c r="G5" s="4">
        <v>1</v>
      </c>
      <c r="H5" s="4"/>
      <c r="I5" s="4"/>
      <c r="J5" s="4"/>
    </row>
    <row r="6" spans="1:10" x14ac:dyDescent="0.2">
      <c r="A6" s="26" t="s">
        <v>50</v>
      </c>
      <c r="B6" s="4">
        <v>4</v>
      </c>
      <c r="C6" s="4">
        <v>5</v>
      </c>
      <c r="D6" s="4">
        <v>3</v>
      </c>
      <c r="E6" s="4">
        <v>5</v>
      </c>
      <c r="F6" s="4">
        <v>4</v>
      </c>
      <c r="G6" s="4">
        <v>2</v>
      </c>
      <c r="H6" s="4">
        <v>1</v>
      </c>
      <c r="I6" s="4"/>
      <c r="J6" s="4"/>
    </row>
    <row r="7" spans="1:10" x14ac:dyDescent="0.2">
      <c r="A7" s="26" t="s">
        <v>51</v>
      </c>
      <c r="B7" s="4">
        <v>6</v>
      </c>
      <c r="C7" s="4">
        <v>5</v>
      </c>
      <c r="D7" s="4">
        <v>4</v>
      </c>
      <c r="E7" s="4">
        <v>1</v>
      </c>
      <c r="F7" s="4">
        <v>5</v>
      </c>
      <c r="G7" s="4">
        <v>2</v>
      </c>
      <c r="H7" s="4">
        <v>3</v>
      </c>
      <c r="I7" s="4">
        <v>5</v>
      </c>
      <c r="J7" s="4">
        <v>1</v>
      </c>
    </row>
    <row r="8" spans="1:10" x14ac:dyDescent="0.2">
      <c r="A8" s="26" t="s">
        <v>52</v>
      </c>
      <c r="B8" s="4">
        <v>1</v>
      </c>
      <c r="C8" s="4">
        <v>5</v>
      </c>
      <c r="D8" s="4">
        <v>1</v>
      </c>
      <c r="E8" s="4">
        <v>4</v>
      </c>
      <c r="F8" s="4">
        <v>1</v>
      </c>
      <c r="G8" s="4">
        <v>5</v>
      </c>
      <c r="H8" s="4"/>
      <c r="I8" s="4"/>
      <c r="J8" s="4"/>
    </row>
    <row r="9" spans="1:10" x14ac:dyDescent="0.2">
      <c r="F9" s="3"/>
    </row>
    <row r="10" spans="1:10" x14ac:dyDescent="0.2">
      <c r="A10" s="1" t="s">
        <v>7</v>
      </c>
      <c r="B10" s="4">
        <v>25</v>
      </c>
      <c r="C10" s="4">
        <v>10</v>
      </c>
      <c r="D10" s="4">
        <v>7</v>
      </c>
      <c r="E10" s="4">
        <v>2</v>
      </c>
      <c r="F10" s="4">
        <v>6</v>
      </c>
      <c r="G10" s="4">
        <v>8</v>
      </c>
    </row>
    <row r="11" spans="1:10" x14ac:dyDescent="0.2">
      <c r="A11" s="1"/>
      <c r="B11" s="3"/>
      <c r="C11" s="3"/>
      <c r="D11" s="3"/>
      <c r="E11" s="3"/>
      <c r="F11" s="3"/>
      <c r="G11" s="3"/>
      <c r="H11" s="3"/>
      <c r="I11" s="3"/>
      <c r="J11" s="3"/>
    </row>
    <row r="12" spans="1:10" x14ac:dyDescent="0.2">
      <c r="C12" s="3" t="s">
        <v>11</v>
      </c>
      <c r="D12" s="3" t="s">
        <v>12</v>
      </c>
    </row>
    <row r="13" spans="1:10" x14ac:dyDescent="0.2">
      <c r="A13" s="1" t="s">
        <v>2</v>
      </c>
      <c r="B13" s="3">
        <v>1</v>
      </c>
      <c r="C13" s="5">
        <v>0</v>
      </c>
      <c r="D13" s="5">
        <v>3.75</v>
      </c>
    </row>
    <row r="14" spans="1:10" x14ac:dyDescent="0.2">
      <c r="B14" s="3">
        <v>2</v>
      </c>
      <c r="C14" s="5">
        <v>0</v>
      </c>
      <c r="D14" s="5">
        <v>6.25</v>
      </c>
    </row>
    <row r="15" spans="1:10" x14ac:dyDescent="0.2">
      <c r="B15" s="3">
        <v>3</v>
      </c>
      <c r="C15" s="5">
        <v>0</v>
      </c>
      <c r="D15" s="5">
        <v>8.75</v>
      </c>
    </row>
    <row r="16" spans="1:10" x14ac:dyDescent="0.2">
      <c r="B16" s="3">
        <v>4</v>
      </c>
      <c r="C16" s="5">
        <v>7.25</v>
      </c>
      <c r="D16" s="5">
        <v>11</v>
      </c>
    </row>
    <row r="17" spans="2:4" x14ac:dyDescent="0.2">
      <c r="B17" s="3">
        <v>5</v>
      </c>
      <c r="C17" s="5">
        <v>8.5</v>
      </c>
      <c r="D17" s="5">
        <v>9.75</v>
      </c>
    </row>
    <row r="18" spans="2:4" x14ac:dyDescent="0.2">
      <c r="B18" s="3">
        <v>6</v>
      </c>
      <c r="C18" s="5">
        <v>8.5</v>
      </c>
      <c r="D18" s="5">
        <v>2.25</v>
      </c>
    </row>
    <row r="19" spans="2:4" x14ac:dyDescent="0.2">
      <c r="B19" s="3">
        <v>7</v>
      </c>
      <c r="C19" s="5">
        <v>6</v>
      </c>
      <c r="D19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7"/>
  <sheetViews>
    <sheetView workbookViewId="0">
      <selection activeCell="E3" sqref="E3"/>
    </sheetView>
  </sheetViews>
  <sheetFormatPr defaultRowHeight="12.75" x14ac:dyDescent="0.2"/>
  <cols>
    <col min="1" max="1" width="7.5703125" customWidth="1"/>
    <col min="2" max="26" width="5.7109375" customWidth="1"/>
  </cols>
  <sheetData>
    <row r="1" spans="1:26" x14ac:dyDescent="0.2">
      <c r="A1" s="2"/>
      <c r="F1" s="25" t="s">
        <v>47</v>
      </c>
      <c r="I1" s="12"/>
      <c r="K1" s="27" t="s">
        <v>25</v>
      </c>
      <c r="L1" s="29"/>
    </row>
    <row r="2" spans="1:26" ht="15.75" x14ac:dyDescent="0.3">
      <c r="C2" s="12" t="s">
        <v>64</v>
      </c>
      <c r="D2" s="12" t="s">
        <v>65</v>
      </c>
      <c r="E2" s="12" t="s">
        <v>66</v>
      </c>
      <c r="F2" s="3"/>
      <c r="G2" s="3">
        <v>1</v>
      </c>
      <c r="H2" s="3">
        <v>2</v>
      </c>
      <c r="I2" s="3">
        <v>3</v>
      </c>
      <c r="J2" s="3">
        <v>4</v>
      </c>
      <c r="K2" s="3">
        <v>5</v>
      </c>
      <c r="L2" s="3">
        <v>6</v>
      </c>
      <c r="M2" s="3">
        <v>7</v>
      </c>
      <c r="N2" s="3">
        <v>8</v>
      </c>
      <c r="O2" s="3">
        <v>9</v>
      </c>
      <c r="P2" s="3">
        <v>10</v>
      </c>
      <c r="Q2" s="3">
        <v>11</v>
      </c>
      <c r="R2" s="3">
        <v>12</v>
      </c>
      <c r="S2" s="3">
        <v>13</v>
      </c>
      <c r="T2" s="3">
        <v>14</v>
      </c>
      <c r="U2" s="3">
        <v>15</v>
      </c>
      <c r="V2" s="3">
        <v>16</v>
      </c>
      <c r="W2" s="3">
        <v>17</v>
      </c>
      <c r="X2" s="3">
        <v>18</v>
      </c>
      <c r="Y2" s="3">
        <v>19</v>
      </c>
      <c r="Z2" s="3">
        <v>20</v>
      </c>
    </row>
    <row r="3" spans="1:26" x14ac:dyDescent="0.2">
      <c r="A3" s="1" t="s">
        <v>26</v>
      </c>
      <c r="B3">
        <v>1</v>
      </c>
      <c r="C3" s="5">
        <v>1</v>
      </c>
      <c r="D3" s="5">
        <v>-11</v>
      </c>
      <c r="E3" s="5">
        <v>7</v>
      </c>
      <c r="F3" s="3">
        <v>1</v>
      </c>
      <c r="G3" s="28">
        <f t="array" ref="G3:X20">dijk(C3:E26)</f>
        <v>0</v>
      </c>
      <c r="H3" s="28">
        <v>13</v>
      </c>
      <c r="I3" s="28">
        <v>26</v>
      </c>
      <c r="J3" s="28">
        <v>33</v>
      </c>
      <c r="K3" s="28">
        <v>29</v>
      </c>
      <c r="L3" s="28">
        <v>27</v>
      </c>
      <c r="M3" s="28">
        <v>31</v>
      </c>
      <c r="N3" s="28">
        <v>40</v>
      </c>
      <c r="O3" s="5">
        <v>43</v>
      </c>
      <c r="P3" s="5">
        <v>55</v>
      </c>
      <c r="Q3" s="5">
        <v>7</v>
      </c>
      <c r="R3" s="5">
        <v>13</v>
      </c>
      <c r="S3" s="5">
        <v>22</v>
      </c>
      <c r="T3" s="5">
        <v>31</v>
      </c>
      <c r="U3" s="5">
        <v>40</v>
      </c>
      <c r="V3" s="5">
        <v>15</v>
      </c>
      <c r="W3" s="5">
        <v>24</v>
      </c>
      <c r="X3" s="5">
        <v>39</v>
      </c>
      <c r="Y3" s="5"/>
      <c r="Z3" s="5"/>
    </row>
    <row r="4" spans="1:26" x14ac:dyDescent="0.2">
      <c r="B4">
        <v>2</v>
      </c>
      <c r="C4" s="5">
        <v>1</v>
      </c>
      <c r="D4" s="5">
        <v>-16</v>
      </c>
      <c r="E4" s="5">
        <v>15</v>
      </c>
      <c r="F4" s="3">
        <v>2</v>
      </c>
      <c r="G4" s="5">
        <v>13</v>
      </c>
      <c r="H4" s="5">
        <v>0</v>
      </c>
      <c r="I4" s="5">
        <v>13</v>
      </c>
      <c r="J4" s="5">
        <v>46</v>
      </c>
      <c r="K4" s="5">
        <v>28</v>
      </c>
      <c r="L4" s="5">
        <v>26</v>
      </c>
      <c r="M4" s="5">
        <v>35</v>
      </c>
      <c r="N4" s="5">
        <v>44</v>
      </c>
      <c r="O4" s="5">
        <v>54</v>
      </c>
      <c r="P4" s="5">
        <v>44</v>
      </c>
      <c r="Q4" s="5">
        <v>6</v>
      </c>
      <c r="R4" s="5">
        <v>12</v>
      </c>
      <c r="S4" s="5">
        <v>21</v>
      </c>
      <c r="T4" s="5">
        <v>30</v>
      </c>
      <c r="U4" s="5">
        <v>39</v>
      </c>
      <c r="V4" s="5">
        <v>28</v>
      </c>
      <c r="W4" s="5">
        <v>37</v>
      </c>
      <c r="X4" s="5">
        <v>26</v>
      </c>
      <c r="Y4" s="5"/>
      <c r="Z4" s="5"/>
    </row>
    <row r="5" spans="1:26" x14ac:dyDescent="0.2">
      <c r="B5">
        <v>3</v>
      </c>
      <c r="C5" s="5">
        <v>2</v>
      </c>
      <c r="D5" s="5">
        <v>-3</v>
      </c>
      <c r="E5" s="5">
        <v>13</v>
      </c>
      <c r="F5" s="3">
        <v>3</v>
      </c>
      <c r="G5" s="5">
        <v>26</v>
      </c>
      <c r="H5" s="5">
        <v>13</v>
      </c>
      <c r="I5" s="5">
        <v>0</v>
      </c>
      <c r="J5" s="5">
        <v>53</v>
      </c>
      <c r="K5" s="5">
        <v>26</v>
      </c>
      <c r="L5" s="5">
        <v>29</v>
      </c>
      <c r="M5" s="5">
        <v>38</v>
      </c>
      <c r="N5" s="5">
        <v>47</v>
      </c>
      <c r="O5" s="5">
        <v>57</v>
      </c>
      <c r="P5" s="5">
        <v>31</v>
      </c>
      <c r="Q5" s="5">
        <v>19</v>
      </c>
      <c r="R5" s="5">
        <v>15</v>
      </c>
      <c r="S5" s="5">
        <v>24</v>
      </c>
      <c r="T5" s="5">
        <v>33</v>
      </c>
      <c r="U5" s="5">
        <v>42</v>
      </c>
      <c r="V5" s="5">
        <v>35</v>
      </c>
      <c r="W5" s="5">
        <v>44</v>
      </c>
      <c r="X5" s="5">
        <v>13</v>
      </c>
      <c r="Y5" s="5"/>
      <c r="Z5" s="5"/>
    </row>
    <row r="6" spans="1:26" x14ac:dyDescent="0.2">
      <c r="B6">
        <v>4</v>
      </c>
      <c r="C6" s="5">
        <v>2</v>
      </c>
      <c r="D6" s="5">
        <v>-11</v>
      </c>
      <c r="E6" s="5">
        <v>6</v>
      </c>
      <c r="F6" s="3">
        <v>4</v>
      </c>
      <c r="G6" s="5">
        <v>33</v>
      </c>
      <c r="H6" s="5">
        <v>46</v>
      </c>
      <c r="I6" s="5">
        <v>53</v>
      </c>
      <c r="J6" s="5">
        <v>0</v>
      </c>
      <c r="K6" s="5">
        <v>37</v>
      </c>
      <c r="L6" s="5">
        <v>25</v>
      </c>
      <c r="M6" s="5">
        <v>16</v>
      </c>
      <c r="N6" s="5">
        <v>7</v>
      </c>
      <c r="O6" s="5">
        <v>10</v>
      </c>
      <c r="P6" s="5">
        <v>40</v>
      </c>
      <c r="Q6" s="5">
        <v>40</v>
      </c>
      <c r="R6" s="5">
        <v>38</v>
      </c>
      <c r="S6" s="5">
        <v>30</v>
      </c>
      <c r="T6" s="5">
        <v>21</v>
      </c>
      <c r="U6" s="5">
        <v>25</v>
      </c>
      <c r="V6" s="5">
        <v>18</v>
      </c>
      <c r="W6" s="5">
        <v>9</v>
      </c>
      <c r="X6" s="5">
        <v>50</v>
      </c>
      <c r="Y6" s="5"/>
      <c r="Z6" s="5"/>
    </row>
    <row r="7" spans="1:26" x14ac:dyDescent="0.2">
      <c r="B7">
        <v>5</v>
      </c>
      <c r="C7" s="5">
        <v>3</v>
      </c>
      <c r="D7" s="5">
        <v>-12</v>
      </c>
      <c r="E7" s="5">
        <v>15</v>
      </c>
      <c r="F7" s="3">
        <v>5</v>
      </c>
      <c r="G7" s="5">
        <v>29</v>
      </c>
      <c r="H7" s="5">
        <v>28</v>
      </c>
      <c r="I7" s="5">
        <v>26</v>
      </c>
      <c r="J7" s="5">
        <v>37</v>
      </c>
      <c r="K7" s="5">
        <v>0</v>
      </c>
      <c r="L7" s="5">
        <v>12</v>
      </c>
      <c r="M7" s="5">
        <v>21</v>
      </c>
      <c r="N7" s="5">
        <v>30</v>
      </c>
      <c r="O7" s="5">
        <v>40</v>
      </c>
      <c r="P7" s="5">
        <v>31</v>
      </c>
      <c r="Q7" s="5">
        <v>22</v>
      </c>
      <c r="R7" s="5">
        <v>16</v>
      </c>
      <c r="S7" s="5">
        <v>7</v>
      </c>
      <c r="T7" s="5">
        <v>16</v>
      </c>
      <c r="U7" s="5">
        <v>25</v>
      </c>
      <c r="V7" s="5">
        <v>36</v>
      </c>
      <c r="W7" s="5">
        <v>28</v>
      </c>
      <c r="X7" s="5">
        <v>13</v>
      </c>
      <c r="Y7" s="5"/>
      <c r="Z7" s="5"/>
    </row>
    <row r="8" spans="1:26" x14ac:dyDescent="0.2">
      <c r="B8">
        <v>6</v>
      </c>
      <c r="C8" s="5">
        <v>3</v>
      </c>
      <c r="D8" s="5">
        <v>-18</v>
      </c>
      <c r="E8" s="5">
        <v>13</v>
      </c>
      <c r="F8" s="3">
        <v>6</v>
      </c>
      <c r="G8" s="5">
        <v>27</v>
      </c>
      <c r="H8" s="5">
        <v>26</v>
      </c>
      <c r="I8" s="5">
        <v>29</v>
      </c>
      <c r="J8" s="5">
        <v>25</v>
      </c>
      <c r="K8" s="5">
        <v>12</v>
      </c>
      <c r="L8" s="5">
        <v>0</v>
      </c>
      <c r="M8" s="5">
        <v>9</v>
      </c>
      <c r="N8" s="5">
        <v>28</v>
      </c>
      <c r="O8" s="5">
        <v>35</v>
      </c>
      <c r="P8" s="5">
        <v>38</v>
      </c>
      <c r="Q8" s="5">
        <v>20</v>
      </c>
      <c r="R8" s="5">
        <v>14</v>
      </c>
      <c r="S8" s="5">
        <v>5</v>
      </c>
      <c r="T8" s="5">
        <v>14</v>
      </c>
      <c r="U8" s="5">
        <v>23</v>
      </c>
      <c r="V8" s="5">
        <v>25</v>
      </c>
      <c r="W8" s="5">
        <v>16</v>
      </c>
      <c r="X8" s="5">
        <v>25</v>
      </c>
      <c r="Y8" s="5"/>
      <c r="Z8" s="5"/>
    </row>
    <row r="9" spans="1:26" x14ac:dyDescent="0.2">
      <c r="B9">
        <v>7</v>
      </c>
      <c r="C9" s="5">
        <v>4</v>
      </c>
      <c r="D9" s="5">
        <v>-8</v>
      </c>
      <c r="E9" s="5">
        <v>7</v>
      </c>
      <c r="F9" s="3">
        <v>7</v>
      </c>
      <c r="G9" s="5">
        <v>31</v>
      </c>
      <c r="H9" s="5">
        <v>35</v>
      </c>
      <c r="I9" s="5">
        <v>38</v>
      </c>
      <c r="J9" s="5">
        <v>16</v>
      </c>
      <c r="K9" s="5">
        <v>21</v>
      </c>
      <c r="L9" s="5">
        <v>9</v>
      </c>
      <c r="M9" s="5">
        <v>0</v>
      </c>
      <c r="N9" s="5">
        <v>23</v>
      </c>
      <c r="O9" s="5">
        <v>26</v>
      </c>
      <c r="P9" s="5">
        <v>47</v>
      </c>
      <c r="Q9" s="5">
        <v>29</v>
      </c>
      <c r="R9" s="5">
        <v>23</v>
      </c>
      <c r="S9" s="5">
        <v>14</v>
      </c>
      <c r="T9" s="5">
        <v>23</v>
      </c>
      <c r="U9" s="5">
        <v>32</v>
      </c>
      <c r="V9" s="5">
        <v>16</v>
      </c>
      <c r="W9" s="5">
        <v>7</v>
      </c>
      <c r="X9" s="5">
        <v>34</v>
      </c>
      <c r="Y9" s="5"/>
      <c r="Z9" s="5"/>
    </row>
    <row r="10" spans="1:26" x14ac:dyDescent="0.2">
      <c r="B10">
        <v>8</v>
      </c>
      <c r="C10" s="5">
        <v>4</v>
      </c>
      <c r="D10" s="5">
        <v>-9</v>
      </c>
      <c r="E10" s="5">
        <v>10</v>
      </c>
      <c r="F10" s="3">
        <v>8</v>
      </c>
      <c r="G10" s="5">
        <v>40</v>
      </c>
      <c r="H10" s="5">
        <v>44</v>
      </c>
      <c r="I10" s="5">
        <v>47</v>
      </c>
      <c r="J10" s="5">
        <v>7</v>
      </c>
      <c r="K10" s="5">
        <v>30</v>
      </c>
      <c r="L10" s="5">
        <v>28</v>
      </c>
      <c r="M10" s="5">
        <v>23</v>
      </c>
      <c r="N10" s="5">
        <v>0</v>
      </c>
      <c r="O10" s="5">
        <v>17</v>
      </c>
      <c r="P10" s="5">
        <v>38</v>
      </c>
      <c r="Q10" s="5">
        <v>38</v>
      </c>
      <c r="R10" s="5">
        <v>32</v>
      </c>
      <c r="S10" s="5">
        <v>23</v>
      </c>
      <c r="T10" s="5">
        <v>14</v>
      </c>
      <c r="U10" s="5">
        <v>23</v>
      </c>
      <c r="V10" s="5">
        <v>25</v>
      </c>
      <c r="W10" s="5">
        <v>16</v>
      </c>
      <c r="X10" s="5">
        <v>43</v>
      </c>
      <c r="Y10" s="5"/>
      <c r="Z10" s="5"/>
    </row>
    <row r="11" spans="1:26" x14ac:dyDescent="0.2">
      <c r="B11">
        <v>9</v>
      </c>
      <c r="C11" s="5">
        <v>4</v>
      </c>
      <c r="D11" s="5">
        <v>-17</v>
      </c>
      <c r="E11" s="5">
        <v>9</v>
      </c>
      <c r="F11" s="3">
        <v>9</v>
      </c>
      <c r="G11" s="5">
        <v>43</v>
      </c>
      <c r="H11" s="5">
        <v>54</v>
      </c>
      <c r="I11" s="5">
        <v>57</v>
      </c>
      <c r="J11" s="5">
        <v>10</v>
      </c>
      <c r="K11" s="5">
        <v>40</v>
      </c>
      <c r="L11" s="5">
        <v>35</v>
      </c>
      <c r="M11" s="5">
        <v>26</v>
      </c>
      <c r="N11" s="5">
        <v>17</v>
      </c>
      <c r="O11" s="5">
        <v>0</v>
      </c>
      <c r="P11" s="5">
        <v>30</v>
      </c>
      <c r="Q11" s="5">
        <v>48</v>
      </c>
      <c r="R11" s="5">
        <v>42</v>
      </c>
      <c r="S11" s="5">
        <v>33</v>
      </c>
      <c r="T11" s="5">
        <v>24</v>
      </c>
      <c r="U11" s="5">
        <v>15</v>
      </c>
      <c r="V11" s="5">
        <v>28</v>
      </c>
      <c r="W11" s="5">
        <v>19</v>
      </c>
      <c r="X11" s="5">
        <v>48</v>
      </c>
      <c r="Y11" s="5"/>
      <c r="Z11" s="5"/>
    </row>
    <row r="12" spans="1:26" x14ac:dyDescent="0.2">
      <c r="B12">
        <v>10</v>
      </c>
      <c r="C12" s="5">
        <v>5</v>
      </c>
      <c r="D12" s="5">
        <v>-13</v>
      </c>
      <c r="E12" s="5">
        <v>7</v>
      </c>
      <c r="F12" s="3">
        <v>10</v>
      </c>
      <c r="G12" s="5">
        <v>55</v>
      </c>
      <c r="H12" s="5">
        <v>44</v>
      </c>
      <c r="I12" s="5">
        <v>31</v>
      </c>
      <c r="J12" s="5">
        <v>40</v>
      </c>
      <c r="K12" s="5">
        <v>31</v>
      </c>
      <c r="L12" s="5">
        <v>38</v>
      </c>
      <c r="M12" s="5">
        <v>47</v>
      </c>
      <c r="N12" s="5">
        <v>38</v>
      </c>
      <c r="O12" s="5">
        <v>30</v>
      </c>
      <c r="P12" s="5">
        <v>0</v>
      </c>
      <c r="Q12" s="5">
        <v>48</v>
      </c>
      <c r="R12" s="5">
        <v>42</v>
      </c>
      <c r="S12" s="5">
        <v>33</v>
      </c>
      <c r="T12" s="5">
        <v>24</v>
      </c>
      <c r="U12" s="5">
        <v>15</v>
      </c>
      <c r="V12" s="5">
        <v>58</v>
      </c>
      <c r="W12" s="5">
        <v>49</v>
      </c>
      <c r="X12" s="5">
        <v>18</v>
      </c>
      <c r="Y12" s="5"/>
      <c r="Z12" s="5"/>
    </row>
    <row r="13" spans="1:26" x14ac:dyDescent="0.2">
      <c r="B13">
        <v>11</v>
      </c>
      <c r="C13" s="5">
        <v>5</v>
      </c>
      <c r="D13" s="5">
        <v>-18</v>
      </c>
      <c r="E13" s="5">
        <v>13</v>
      </c>
      <c r="F13" s="3">
        <v>11</v>
      </c>
      <c r="G13" s="5">
        <v>7</v>
      </c>
      <c r="H13" s="5">
        <v>6</v>
      </c>
      <c r="I13" s="5">
        <v>19</v>
      </c>
      <c r="J13" s="5">
        <v>40</v>
      </c>
      <c r="K13" s="5">
        <v>22</v>
      </c>
      <c r="L13" s="5">
        <v>20</v>
      </c>
      <c r="M13" s="5">
        <v>29</v>
      </c>
      <c r="N13" s="5">
        <v>38</v>
      </c>
      <c r="O13" s="5">
        <v>48</v>
      </c>
      <c r="P13" s="5">
        <v>48</v>
      </c>
      <c r="Q13" s="5">
        <v>0</v>
      </c>
      <c r="R13" s="5">
        <v>6</v>
      </c>
      <c r="S13" s="5">
        <v>15</v>
      </c>
      <c r="T13" s="5">
        <v>24</v>
      </c>
      <c r="U13" s="5">
        <v>33</v>
      </c>
      <c r="V13" s="5">
        <v>22</v>
      </c>
      <c r="W13" s="5">
        <v>31</v>
      </c>
      <c r="X13" s="5">
        <v>32</v>
      </c>
      <c r="Y13" s="5"/>
      <c r="Z13" s="5"/>
    </row>
    <row r="14" spans="1:26" x14ac:dyDescent="0.2">
      <c r="B14">
        <v>12</v>
      </c>
      <c r="C14" s="5">
        <v>6</v>
      </c>
      <c r="D14" s="5">
        <v>-7</v>
      </c>
      <c r="E14" s="5">
        <v>9</v>
      </c>
      <c r="F14" s="3">
        <v>12</v>
      </c>
      <c r="G14" s="5">
        <v>13</v>
      </c>
      <c r="H14" s="5">
        <v>12</v>
      </c>
      <c r="I14" s="5">
        <v>15</v>
      </c>
      <c r="J14" s="5">
        <v>38</v>
      </c>
      <c r="K14" s="5">
        <v>16</v>
      </c>
      <c r="L14" s="5">
        <v>14</v>
      </c>
      <c r="M14" s="5">
        <v>23</v>
      </c>
      <c r="N14" s="5">
        <v>32</v>
      </c>
      <c r="O14" s="5">
        <v>42</v>
      </c>
      <c r="P14" s="5">
        <v>42</v>
      </c>
      <c r="Q14" s="5">
        <v>6</v>
      </c>
      <c r="R14" s="5">
        <v>0</v>
      </c>
      <c r="S14" s="5">
        <v>9</v>
      </c>
      <c r="T14" s="5">
        <v>18</v>
      </c>
      <c r="U14" s="5">
        <v>27</v>
      </c>
      <c r="V14" s="5">
        <v>20</v>
      </c>
      <c r="W14" s="5">
        <v>29</v>
      </c>
      <c r="X14" s="5">
        <v>28</v>
      </c>
      <c r="Y14" s="5"/>
      <c r="Z14" s="5"/>
    </row>
    <row r="15" spans="1:26" x14ac:dyDescent="0.2">
      <c r="B15">
        <v>13</v>
      </c>
      <c r="C15" s="5">
        <v>6</v>
      </c>
      <c r="D15" s="5">
        <v>-13</v>
      </c>
      <c r="E15" s="5">
        <v>5</v>
      </c>
      <c r="F15" s="3">
        <v>13</v>
      </c>
      <c r="G15" s="5">
        <v>22</v>
      </c>
      <c r="H15" s="5">
        <v>21</v>
      </c>
      <c r="I15" s="5">
        <v>24</v>
      </c>
      <c r="J15" s="5">
        <v>30</v>
      </c>
      <c r="K15" s="5">
        <v>7</v>
      </c>
      <c r="L15" s="5">
        <v>5</v>
      </c>
      <c r="M15" s="5">
        <v>14</v>
      </c>
      <c r="N15" s="5">
        <v>23</v>
      </c>
      <c r="O15" s="5">
        <v>33</v>
      </c>
      <c r="P15" s="5">
        <v>33</v>
      </c>
      <c r="Q15" s="5">
        <v>15</v>
      </c>
      <c r="R15" s="5">
        <v>9</v>
      </c>
      <c r="S15" s="5">
        <v>0</v>
      </c>
      <c r="T15" s="5">
        <v>9</v>
      </c>
      <c r="U15" s="5">
        <v>18</v>
      </c>
      <c r="V15" s="5">
        <v>29</v>
      </c>
      <c r="W15" s="5">
        <v>21</v>
      </c>
      <c r="X15" s="5">
        <v>20</v>
      </c>
      <c r="Y15" s="5"/>
      <c r="Z15" s="5"/>
    </row>
    <row r="16" spans="1:26" x14ac:dyDescent="0.2">
      <c r="B16">
        <v>14</v>
      </c>
      <c r="C16" s="5">
        <v>7</v>
      </c>
      <c r="D16" s="5">
        <v>-17</v>
      </c>
      <c r="E16" s="5">
        <v>7</v>
      </c>
      <c r="F16" s="3">
        <v>14</v>
      </c>
      <c r="G16" s="5">
        <v>31</v>
      </c>
      <c r="H16" s="5">
        <v>30</v>
      </c>
      <c r="I16" s="5">
        <v>33</v>
      </c>
      <c r="J16" s="5">
        <v>21</v>
      </c>
      <c r="K16" s="5">
        <v>16</v>
      </c>
      <c r="L16" s="5">
        <v>14</v>
      </c>
      <c r="M16" s="5">
        <v>23</v>
      </c>
      <c r="N16" s="5">
        <v>14</v>
      </c>
      <c r="O16" s="5">
        <v>24</v>
      </c>
      <c r="P16" s="5">
        <v>24</v>
      </c>
      <c r="Q16" s="5">
        <v>24</v>
      </c>
      <c r="R16" s="5">
        <v>18</v>
      </c>
      <c r="S16" s="5">
        <v>9</v>
      </c>
      <c r="T16" s="5">
        <v>0</v>
      </c>
      <c r="U16" s="5">
        <v>9</v>
      </c>
      <c r="V16" s="5">
        <v>38</v>
      </c>
      <c r="W16" s="5">
        <v>30</v>
      </c>
      <c r="X16" s="5">
        <v>29</v>
      </c>
      <c r="Y16" s="5"/>
      <c r="Z16" s="5"/>
    </row>
    <row r="17" spans="2:26" x14ac:dyDescent="0.2">
      <c r="B17">
        <v>15</v>
      </c>
      <c r="C17" s="5">
        <v>8</v>
      </c>
      <c r="D17" s="5">
        <v>-14</v>
      </c>
      <c r="E17" s="5">
        <v>14</v>
      </c>
      <c r="F17" s="3">
        <v>15</v>
      </c>
      <c r="G17" s="5">
        <v>40</v>
      </c>
      <c r="H17" s="5">
        <v>39</v>
      </c>
      <c r="I17" s="5">
        <v>42</v>
      </c>
      <c r="J17" s="5">
        <v>25</v>
      </c>
      <c r="K17" s="5">
        <v>25</v>
      </c>
      <c r="L17" s="5">
        <v>23</v>
      </c>
      <c r="M17" s="5">
        <v>32</v>
      </c>
      <c r="N17" s="5">
        <v>23</v>
      </c>
      <c r="O17" s="5">
        <v>15</v>
      </c>
      <c r="P17" s="5">
        <v>15</v>
      </c>
      <c r="Q17" s="5">
        <v>33</v>
      </c>
      <c r="R17" s="5">
        <v>27</v>
      </c>
      <c r="S17" s="5">
        <v>18</v>
      </c>
      <c r="T17" s="5">
        <v>9</v>
      </c>
      <c r="U17" s="5">
        <v>0</v>
      </c>
      <c r="V17" s="5">
        <v>43</v>
      </c>
      <c r="W17" s="5">
        <v>34</v>
      </c>
      <c r="X17" s="5">
        <v>33</v>
      </c>
      <c r="Y17" s="5"/>
      <c r="Z17" s="5"/>
    </row>
    <row r="18" spans="2:26" x14ac:dyDescent="0.2">
      <c r="B18">
        <v>16</v>
      </c>
      <c r="C18" s="5">
        <v>9</v>
      </c>
      <c r="D18" s="5">
        <v>-15</v>
      </c>
      <c r="E18" s="5">
        <v>15</v>
      </c>
      <c r="F18" s="3">
        <v>16</v>
      </c>
      <c r="G18" s="5">
        <v>15</v>
      </c>
      <c r="H18" s="5">
        <v>28</v>
      </c>
      <c r="I18" s="5">
        <v>35</v>
      </c>
      <c r="J18" s="5">
        <v>18</v>
      </c>
      <c r="K18" s="5">
        <v>36</v>
      </c>
      <c r="L18" s="5">
        <v>25</v>
      </c>
      <c r="M18" s="5">
        <v>16</v>
      </c>
      <c r="N18" s="5">
        <v>25</v>
      </c>
      <c r="O18" s="5">
        <v>28</v>
      </c>
      <c r="P18" s="5">
        <v>58</v>
      </c>
      <c r="Q18" s="5">
        <v>22</v>
      </c>
      <c r="R18" s="5">
        <v>20</v>
      </c>
      <c r="S18" s="5">
        <v>29</v>
      </c>
      <c r="T18" s="5">
        <v>38</v>
      </c>
      <c r="U18" s="5">
        <v>43</v>
      </c>
      <c r="V18" s="5">
        <v>0</v>
      </c>
      <c r="W18" s="5">
        <v>9</v>
      </c>
      <c r="X18" s="5">
        <v>48</v>
      </c>
      <c r="Y18" s="5"/>
      <c r="Z18" s="5"/>
    </row>
    <row r="19" spans="2:26" x14ac:dyDescent="0.2">
      <c r="B19">
        <v>17</v>
      </c>
      <c r="C19" s="5">
        <v>10</v>
      </c>
      <c r="D19" s="5">
        <v>-15</v>
      </c>
      <c r="E19" s="5">
        <v>15</v>
      </c>
      <c r="F19" s="3">
        <v>17</v>
      </c>
      <c r="G19" s="5">
        <v>24</v>
      </c>
      <c r="H19" s="5">
        <v>37</v>
      </c>
      <c r="I19" s="5">
        <v>44</v>
      </c>
      <c r="J19" s="5">
        <v>9</v>
      </c>
      <c r="K19" s="5">
        <v>28</v>
      </c>
      <c r="L19" s="5">
        <v>16</v>
      </c>
      <c r="M19" s="5">
        <v>7</v>
      </c>
      <c r="N19" s="5">
        <v>16</v>
      </c>
      <c r="O19" s="5">
        <v>19</v>
      </c>
      <c r="P19" s="5">
        <v>49</v>
      </c>
      <c r="Q19" s="5">
        <v>31</v>
      </c>
      <c r="R19" s="5">
        <v>29</v>
      </c>
      <c r="S19" s="5">
        <v>21</v>
      </c>
      <c r="T19" s="5">
        <v>30</v>
      </c>
      <c r="U19" s="5">
        <v>34</v>
      </c>
      <c r="V19" s="5">
        <v>9</v>
      </c>
      <c r="W19" s="5">
        <v>0</v>
      </c>
      <c r="X19" s="5">
        <v>41</v>
      </c>
      <c r="Y19" s="5"/>
      <c r="Z19" s="5"/>
    </row>
    <row r="20" spans="2:26" x14ac:dyDescent="0.2">
      <c r="B20">
        <v>18</v>
      </c>
      <c r="C20" s="5">
        <v>10</v>
      </c>
      <c r="D20" s="5">
        <v>-18</v>
      </c>
      <c r="E20" s="5">
        <v>18</v>
      </c>
      <c r="F20" s="3">
        <v>18</v>
      </c>
      <c r="G20" s="5">
        <v>39</v>
      </c>
      <c r="H20" s="5">
        <v>26</v>
      </c>
      <c r="I20" s="5">
        <v>13</v>
      </c>
      <c r="J20" s="5">
        <v>50</v>
      </c>
      <c r="K20" s="5">
        <v>13</v>
      </c>
      <c r="L20" s="5">
        <v>25</v>
      </c>
      <c r="M20" s="5">
        <v>34</v>
      </c>
      <c r="N20" s="5">
        <v>43</v>
      </c>
      <c r="O20" s="5">
        <v>48</v>
      </c>
      <c r="P20" s="5">
        <v>18</v>
      </c>
      <c r="Q20" s="5">
        <v>32</v>
      </c>
      <c r="R20" s="5">
        <v>28</v>
      </c>
      <c r="S20" s="5">
        <v>20</v>
      </c>
      <c r="T20" s="5">
        <v>29</v>
      </c>
      <c r="U20" s="5">
        <v>33</v>
      </c>
      <c r="V20" s="5">
        <v>48</v>
      </c>
      <c r="W20" s="5">
        <v>41</v>
      </c>
      <c r="X20" s="5">
        <v>0</v>
      </c>
      <c r="Y20" s="5"/>
      <c r="Z20" s="5"/>
    </row>
    <row r="21" spans="2:26" x14ac:dyDescent="0.2">
      <c r="B21">
        <v>19</v>
      </c>
      <c r="C21" s="5">
        <v>11</v>
      </c>
      <c r="D21" s="5">
        <v>-12</v>
      </c>
      <c r="E21" s="5">
        <v>6</v>
      </c>
      <c r="F21" s="3">
        <v>19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2:26" x14ac:dyDescent="0.2">
      <c r="B22">
        <v>20</v>
      </c>
      <c r="C22" s="5">
        <v>12</v>
      </c>
      <c r="D22" s="5">
        <v>-13</v>
      </c>
      <c r="E22" s="5">
        <v>9</v>
      </c>
      <c r="F22" s="3">
        <v>20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2:26" x14ac:dyDescent="0.2">
      <c r="B23">
        <v>21</v>
      </c>
      <c r="C23" s="5">
        <v>12</v>
      </c>
      <c r="D23" s="5">
        <v>-16</v>
      </c>
      <c r="E23" s="5">
        <v>20</v>
      </c>
    </row>
    <row r="24" spans="2:26" x14ac:dyDescent="0.2">
      <c r="B24">
        <v>22</v>
      </c>
      <c r="C24" s="5">
        <v>13</v>
      </c>
      <c r="D24" s="5">
        <v>-14</v>
      </c>
      <c r="E24" s="5">
        <v>9</v>
      </c>
    </row>
    <row r="25" spans="2:26" x14ac:dyDescent="0.2">
      <c r="B25">
        <v>23</v>
      </c>
      <c r="C25" s="5">
        <v>14</v>
      </c>
      <c r="D25" s="5">
        <v>-15</v>
      </c>
      <c r="E25" s="5">
        <v>9</v>
      </c>
    </row>
    <row r="26" spans="2:26" x14ac:dyDescent="0.2">
      <c r="B26">
        <v>24</v>
      </c>
      <c r="C26" s="5">
        <v>16</v>
      </c>
      <c r="D26" s="5">
        <v>-17</v>
      </c>
      <c r="E26" s="5">
        <v>9</v>
      </c>
    </row>
    <row r="27" spans="2:26" x14ac:dyDescent="0.2">
      <c r="B27">
        <v>25</v>
      </c>
      <c r="C27" s="5"/>
      <c r="D27" s="5"/>
      <c r="E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G77"/>
  <sheetViews>
    <sheetView topLeftCell="A4" workbookViewId="0">
      <selection activeCell="A4" sqref="A1:IV65536"/>
    </sheetView>
  </sheetViews>
  <sheetFormatPr defaultRowHeight="12.75" x14ac:dyDescent="0.2"/>
  <cols>
    <col min="1" max="1" width="22" bestFit="1" customWidth="1"/>
  </cols>
  <sheetData>
    <row r="2" spans="1:23" x14ac:dyDescent="0.2">
      <c r="A2" s="2" t="s">
        <v>3</v>
      </c>
      <c r="M2" s="25" t="s">
        <v>45</v>
      </c>
      <c r="P2" s="12"/>
      <c r="R2" s="34" t="s">
        <v>24</v>
      </c>
      <c r="S2" s="35"/>
    </row>
    <row r="3" spans="1:23" x14ac:dyDescent="0.2">
      <c r="M3" s="25"/>
      <c r="N3" s="3">
        <v>1</v>
      </c>
      <c r="O3" s="3">
        <v>2</v>
      </c>
      <c r="P3" s="3">
        <v>3</v>
      </c>
      <c r="Q3" s="3">
        <v>4</v>
      </c>
      <c r="R3" s="3">
        <v>5</v>
      </c>
      <c r="S3" s="3">
        <v>6</v>
      </c>
      <c r="T3" s="3">
        <v>7</v>
      </c>
      <c r="U3" s="3">
        <v>8</v>
      </c>
      <c r="V3" s="3">
        <v>9</v>
      </c>
      <c r="W3" s="3">
        <v>10</v>
      </c>
    </row>
    <row r="4" spans="1:23" x14ac:dyDescent="0.2">
      <c r="A4" s="26" t="s">
        <v>58</v>
      </c>
      <c r="B4" s="4"/>
      <c r="C4" s="4"/>
      <c r="D4" s="4"/>
      <c r="E4" s="4"/>
      <c r="F4" s="4"/>
      <c r="G4" s="4"/>
      <c r="H4" s="4"/>
      <c r="I4" s="4"/>
      <c r="J4" s="4"/>
      <c r="K4" s="4"/>
      <c r="M4" s="3">
        <v>1</v>
      </c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x14ac:dyDescent="0.2">
      <c r="A5" s="26">
        <v>2</v>
      </c>
      <c r="B5" s="4"/>
      <c r="C5" s="4"/>
      <c r="D5" s="4"/>
      <c r="E5" s="4"/>
      <c r="F5" s="4"/>
      <c r="G5" s="4"/>
      <c r="H5" s="4"/>
      <c r="I5" s="4"/>
      <c r="J5" s="4"/>
      <c r="K5" s="4"/>
      <c r="M5" s="10">
        <v>2</v>
      </c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x14ac:dyDescent="0.2">
      <c r="A6" s="26">
        <v>3</v>
      </c>
      <c r="B6" s="4"/>
      <c r="C6" s="4"/>
      <c r="D6" s="4"/>
      <c r="E6" s="4"/>
      <c r="F6" s="4"/>
      <c r="G6" s="4"/>
      <c r="H6" s="4"/>
      <c r="I6" s="4"/>
      <c r="J6" s="4"/>
      <c r="K6" s="4"/>
      <c r="M6" s="10">
        <v>3</v>
      </c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2">
      <c r="A7" s="26">
        <v>4</v>
      </c>
      <c r="B7" s="4"/>
      <c r="C7" s="4"/>
      <c r="D7" s="4"/>
      <c r="E7" s="4"/>
      <c r="F7" s="4"/>
      <c r="G7" s="4"/>
      <c r="H7" s="4"/>
      <c r="I7" s="4"/>
      <c r="J7" s="4"/>
      <c r="K7" s="4"/>
      <c r="M7" s="11">
        <v>4</v>
      </c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2">
      <c r="A8" s="26">
        <v>5</v>
      </c>
      <c r="B8" s="4"/>
      <c r="C8" s="4"/>
      <c r="D8" s="4"/>
      <c r="E8" s="4"/>
      <c r="F8" s="4"/>
      <c r="G8" s="4"/>
      <c r="H8" s="4"/>
      <c r="I8" s="4"/>
      <c r="J8" s="4"/>
      <c r="K8" s="4"/>
      <c r="M8" s="10">
        <v>5</v>
      </c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x14ac:dyDescent="0.2">
      <c r="A9" s="26">
        <v>6</v>
      </c>
      <c r="B9" s="4"/>
      <c r="C9" s="4"/>
      <c r="D9" s="4"/>
      <c r="E9" s="4"/>
      <c r="F9" s="4"/>
      <c r="G9" s="4"/>
      <c r="H9" s="4"/>
      <c r="I9" s="4"/>
      <c r="J9" s="4"/>
      <c r="K9" s="4"/>
      <c r="M9" s="10">
        <v>6</v>
      </c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x14ac:dyDescent="0.2">
      <c r="A10" s="26">
        <v>7</v>
      </c>
      <c r="B10" s="4"/>
      <c r="C10" s="4"/>
      <c r="D10" s="4"/>
      <c r="E10" s="4"/>
      <c r="F10" s="4"/>
      <c r="G10" s="4"/>
      <c r="H10" s="4"/>
      <c r="I10" s="4"/>
      <c r="J10" s="4"/>
      <c r="K10" s="4"/>
      <c r="M10" s="10">
        <v>7</v>
      </c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2">
      <c r="A11" s="26">
        <v>8</v>
      </c>
      <c r="B11" s="4"/>
      <c r="C11" s="4"/>
      <c r="D11" s="4"/>
      <c r="E11" s="4"/>
      <c r="F11" s="4"/>
      <c r="G11" s="4"/>
      <c r="H11" s="4"/>
      <c r="I11" s="4"/>
      <c r="J11" s="4"/>
      <c r="K11" s="4"/>
      <c r="M11" s="10">
        <v>8</v>
      </c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">
      <c r="A12" s="26">
        <v>9</v>
      </c>
      <c r="B12" s="4"/>
      <c r="C12" s="4"/>
      <c r="D12" s="4"/>
      <c r="E12" s="4"/>
      <c r="F12" s="4"/>
      <c r="G12" s="4"/>
      <c r="H12" s="4"/>
      <c r="I12" s="4"/>
      <c r="J12" s="4"/>
      <c r="K12" s="4"/>
      <c r="M12" s="10">
        <v>9</v>
      </c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">
      <c r="A13" s="26">
        <v>10</v>
      </c>
      <c r="B13" s="4"/>
      <c r="C13" s="4"/>
      <c r="D13" s="4"/>
      <c r="E13" s="4"/>
      <c r="F13" s="4"/>
      <c r="G13" s="4"/>
      <c r="H13" s="4"/>
      <c r="I13" s="4"/>
      <c r="J13" s="4"/>
      <c r="K13" s="4"/>
      <c r="M13" s="10">
        <v>10</v>
      </c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x14ac:dyDescent="0.2">
      <c r="F14" s="3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2">
      <c r="A15" s="26" t="s">
        <v>56</v>
      </c>
      <c r="B15" s="3">
        <v>1</v>
      </c>
      <c r="C15" s="3">
        <v>2</v>
      </c>
      <c r="D15" s="3">
        <v>3</v>
      </c>
      <c r="E15" s="3">
        <v>4</v>
      </c>
      <c r="F15" s="3">
        <v>5</v>
      </c>
      <c r="G15" s="3">
        <v>6</v>
      </c>
      <c r="H15" s="3">
        <v>7</v>
      </c>
      <c r="I15" s="3">
        <v>8</v>
      </c>
      <c r="J15" s="3">
        <v>9</v>
      </c>
      <c r="K15" s="3">
        <v>10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2">
      <c r="A16" s="1" t="s">
        <v>57</v>
      </c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1:33" x14ac:dyDescent="0.2">
      <c r="A17" s="1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33" x14ac:dyDescent="0.2">
      <c r="A18" s="1" t="s">
        <v>59</v>
      </c>
      <c r="B18" s="4"/>
      <c r="C18" s="4"/>
      <c r="D18" s="4"/>
      <c r="E18" s="4"/>
      <c r="F18" s="4"/>
      <c r="G18" s="4"/>
      <c r="H18" s="4"/>
      <c r="I18" s="4"/>
      <c r="J18" s="4"/>
      <c r="K18" s="4"/>
    </row>
    <row r="20" spans="1:33" x14ac:dyDescent="0.2">
      <c r="M20" s="25" t="s">
        <v>46</v>
      </c>
    </row>
    <row r="21" spans="1:33" x14ac:dyDescent="0.2">
      <c r="A21" s="2" t="s">
        <v>1</v>
      </c>
      <c r="M21" s="25" t="s">
        <v>47</v>
      </c>
      <c r="P21" s="12"/>
      <c r="R21" s="34" t="s">
        <v>25</v>
      </c>
      <c r="S21" s="35"/>
    </row>
    <row r="22" spans="1:33" ht="15.75" x14ac:dyDescent="0.3">
      <c r="C22" s="3" t="s">
        <v>11</v>
      </c>
      <c r="D22" s="3" t="s">
        <v>12</v>
      </c>
      <c r="G22" s="12" t="s">
        <v>63</v>
      </c>
      <c r="H22" s="12" t="s">
        <v>62</v>
      </c>
      <c r="I22" s="12" t="s">
        <v>61</v>
      </c>
      <c r="M22" s="3"/>
      <c r="N22" s="3">
        <v>1</v>
      </c>
      <c r="O22" s="3">
        <v>2</v>
      </c>
      <c r="P22" s="3">
        <v>3</v>
      </c>
      <c r="Q22" s="3">
        <v>4</v>
      </c>
      <c r="R22" s="3">
        <v>5</v>
      </c>
      <c r="S22" s="3">
        <v>6</v>
      </c>
      <c r="T22" s="3">
        <v>7</v>
      </c>
      <c r="U22" s="3">
        <v>8</v>
      </c>
      <c r="V22" s="3">
        <v>9</v>
      </c>
      <c r="W22" s="3">
        <v>10</v>
      </c>
      <c r="X22" s="3">
        <v>11</v>
      </c>
      <c r="Y22" s="3">
        <v>12</v>
      </c>
      <c r="Z22" s="3">
        <v>13</v>
      </c>
      <c r="AA22" s="3">
        <v>14</v>
      </c>
      <c r="AB22" s="3">
        <v>15</v>
      </c>
      <c r="AC22" s="3">
        <v>16</v>
      </c>
      <c r="AD22" s="3">
        <v>17</v>
      </c>
      <c r="AE22" s="3">
        <v>18</v>
      </c>
      <c r="AF22" s="3">
        <v>19</v>
      </c>
      <c r="AG22" s="3">
        <v>20</v>
      </c>
    </row>
    <row r="23" spans="1:33" x14ac:dyDescent="0.2">
      <c r="A23" s="1" t="s">
        <v>60</v>
      </c>
      <c r="B23" s="1">
        <v>1</v>
      </c>
      <c r="C23" s="5"/>
      <c r="D23" s="5"/>
      <c r="E23" s="1" t="s">
        <v>26</v>
      </c>
      <c r="F23">
        <v>1</v>
      </c>
      <c r="G23" s="5"/>
      <c r="H23" s="5"/>
      <c r="I23" s="5"/>
      <c r="M23" s="3">
        <v>1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</row>
    <row r="24" spans="1:33" x14ac:dyDescent="0.2">
      <c r="B24" s="1">
        <v>2</v>
      </c>
      <c r="C24" s="5"/>
      <c r="D24" s="5"/>
      <c r="F24">
        <v>2</v>
      </c>
      <c r="G24" s="5"/>
      <c r="H24" s="5"/>
      <c r="I24" s="5"/>
      <c r="M24" s="3">
        <v>2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</row>
    <row r="25" spans="1:33" x14ac:dyDescent="0.2">
      <c r="B25" s="1">
        <v>3</v>
      </c>
      <c r="C25" s="5"/>
      <c r="D25" s="5"/>
      <c r="F25">
        <v>3</v>
      </c>
      <c r="G25" s="5"/>
      <c r="H25" s="5"/>
      <c r="I25" s="5"/>
      <c r="M25" s="3">
        <v>3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</row>
    <row r="26" spans="1:33" x14ac:dyDescent="0.2">
      <c r="B26" s="1">
        <v>4</v>
      </c>
      <c r="C26" s="5"/>
      <c r="D26" s="5"/>
      <c r="F26">
        <v>4</v>
      </c>
      <c r="G26" s="5"/>
      <c r="H26" s="5"/>
      <c r="I26" s="5"/>
      <c r="M26" s="3">
        <v>4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</row>
    <row r="27" spans="1:33" x14ac:dyDescent="0.2">
      <c r="B27" s="1">
        <v>5</v>
      </c>
      <c r="C27" s="5"/>
      <c r="D27" s="5"/>
      <c r="F27">
        <v>5</v>
      </c>
      <c r="G27" s="5"/>
      <c r="H27" s="5"/>
      <c r="I27" s="5"/>
      <c r="M27" s="3">
        <v>5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</row>
    <row r="28" spans="1:33" x14ac:dyDescent="0.2">
      <c r="B28" s="1">
        <v>6</v>
      </c>
      <c r="C28" s="5"/>
      <c r="D28" s="5"/>
      <c r="F28">
        <v>6</v>
      </c>
      <c r="G28" s="5"/>
      <c r="H28" s="5"/>
      <c r="I28" s="5"/>
      <c r="M28" s="3">
        <v>6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3" x14ac:dyDescent="0.2">
      <c r="B29" s="1">
        <v>7</v>
      </c>
      <c r="C29" s="5"/>
      <c r="D29" s="5"/>
      <c r="F29">
        <v>7</v>
      </c>
      <c r="G29" s="5"/>
      <c r="H29" s="5"/>
      <c r="I29" s="5"/>
      <c r="M29" s="3">
        <v>7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</row>
    <row r="30" spans="1:33" x14ac:dyDescent="0.2">
      <c r="B30" s="1">
        <v>8</v>
      </c>
      <c r="C30" s="5"/>
      <c r="D30" s="5"/>
      <c r="F30">
        <v>8</v>
      </c>
      <c r="G30" s="5"/>
      <c r="H30" s="5"/>
      <c r="I30" s="5"/>
      <c r="M30" s="3">
        <v>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</row>
    <row r="31" spans="1:33" x14ac:dyDescent="0.2">
      <c r="B31" s="1">
        <v>9</v>
      </c>
      <c r="C31" s="5"/>
      <c r="D31" s="5"/>
      <c r="F31">
        <v>9</v>
      </c>
      <c r="G31" s="5"/>
      <c r="H31" s="5"/>
      <c r="I31" s="5"/>
      <c r="M31" s="3">
        <v>9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</row>
    <row r="32" spans="1:33" x14ac:dyDescent="0.2">
      <c r="B32" s="1">
        <v>10</v>
      </c>
      <c r="C32" s="5"/>
      <c r="D32" s="5"/>
      <c r="F32">
        <v>10</v>
      </c>
      <c r="G32" s="5"/>
      <c r="H32" s="5"/>
      <c r="I32" s="5"/>
      <c r="M32" s="3">
        <v>10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</row>
    <row r="33" spans="2:33" x14ac:dyDescent="0.2">
      <c r="B33" s="1">
        <v>11</v>
      </c>
      <c r="C33" s="5"/>
      <c r="D33" s="5"/>
      <c r="F33">
        <v>11</v>
      </c>
      <c r="G33" s="5"/>
      <c r="H33" s="5"/>
      <c r="I33" s="5"/>
      <c r="M33" s="3">
        <v>11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</row>
    <row r="34" spans="2:33" x14ac:dyDescent="0.2">
      <c r="B34" s="1">
        <v>12</v>
      </c>
      <c r="C34" s="5"/>
      <c r="D34" s="5"/>
      <c r="F34">
        <v>12</v>
      </c>
      <c r="G34" s="5"/>
      <c r="H34" s="5"/>
      <c r="I34" s="5"/>
      <c r="M34" s="3">
        <v>12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</row>
    <row r="35" spans="2:33" x14ac:dyDescent="0.2">
      <c r="B35" s="1">
        <v>13</v>
      </c>
      <c r="C35" s="5"/>
      <c r="D35" s="5"/>
      <c r="F35">
        <v>13</v>
      </c>
      <c r="G35" s="5"/>
      <c r="H35" s="5"/>
      <c r="I35" s="5"/>
      <c r="M35" s="3">
        <v>13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</row>
    <row r="36" spans="2:33" x14ac:dyDescent="0.2">
      <c r="B36" s="1">
        <v>14</v>
      </c>
      <c r="C36" s="5"/>
      <c r="D36" s="5"/>
      <c r="F36">
        <v>14</v>
      </c>
      <c r="G36" s="5"/>
      <c r="H36" s="5"/>
      <c r="I36" s="5"/>
      <c r="M36" s="3">
        <v>14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</row>
    <row r="37" spans="2:33" x14ac:dyDescent="0.2">
      <c r="B37" s="1">
        <v>15</v>
      </c>
      <c r="C37" s="5"/>
      <c r="D37" s="5"/>
      <c r="F37">
        <v>15</v>
      </c>
      <c r="G37" s="5"/>
      <c r="H37" s="5"/>
      <c r="I37" s="5"/>
      <c r="M37" s="3">
        <v>15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</row>
    <row r="38" spans="2:33" x14ac:dyDescent="0.2">
      <c r="B38" s="1">
        <v>16</v>
      </c>
      <c r="C38" s="5"/>
      <c r="D38" s="5"/>
      <c r="F38">
        <v>16</v>
      </c>
      <c r="G38" s="5"/>
      <c r="H38" s="5"/>
      <c r="I38" s="5"/>
      <c r="M38" s="3">
        <v>16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</row>
    <row r="39" spans="2:33" x14ac:dyDescent="0.2">
      <c r="B39" s="1">
        <v>17</v>
      </c>
      <c r="C39" s="5"/>
      <c r="D39" s="5"/>
      <c r="F39">
        <v>17</v>
      </c>
      <c r="G39" s="5"/>
      <c r="H39" s="5"/>
      <c r="I39" s="5"/>
      <c r="M39" s="3">
        <v>17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</row>
    <row r="40" spans="2:33" x14ac:dyDescent="0.2">
      <c r="B40" s="1">
        <v>18</v>
      </c>
      <c r="C40" s="5"/>
      <c r="D40" s="5"/>
      <c r="F40">
        <v>18</v>
      </c>
      <c r="G40" s="5"/>
      <c r="H40" s="5"/>
      <c r="I40" s="5"/>
      <c r="M40" s="3">
        <v>18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</row>
    <row r="41" spans="2:33" x14ac:dyDescent="0.2">
      <c r="B41" s="1">
        <v>19</v>
      </c>
      <c r="C41" s="5"/>
      <c r="D41" s="5"/>
      <c r="F41">
        <v>19</v>
      </c>
      <c r="G41" s="5"/>
      <c r="H41" s="5"/>
      <c r="I41" s="5"/>
      <c r="M41" s="3">
        <v>19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</row>
    <row r="42" spans="2:33" x14ac:dyDescent="0.2">
      <c r="B42" s="1">
        <v>20</v>
      </c>
      <c r="C42" s="5"/>
      <c r="D42" s="5"/>
      <c r="F42">
        <v>20</v>
      </c>
      <c r="G42" s="5"/>
      <c r="H42" s="5"/>
      <c r="I42" s="5"/>
      <c r="M42" s="3">
        <v>20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</row>
    <row r="43" spans="2:33" x14ac:dyDescent="0.2">
      <c r="B43" s="10"/>
      <c r="C43" s="27" t="s">
        <v>55</v>
      </c>
      <c r="F43">
        <v>21</v>
      </c>
      <c r="G43" s="5"/>
      <c r="H43" s="5"/>
      <c r="I43" s="5"/>
    </row>
    <row r="44" spans="2:33" x14ac:dyDescent="0.2">
      <c r="B44" s="10"/>
      <c r="F44">
        <v>22</v>
      </c>
      <c r="G44" s="5"/>
      <c r="H44" s="5"/>
      <c r="I44" s="5"/>
    </row>
    <row r="45" spans="2:33" x14ac:dyDescent="0.2">
      <c r="B45" s="10"/>
      <c r="F45">
        <v>23</v>
      </c>
      <c r="G45" s="5"/>
      <c r="H45" s="5"/>
      <c r="I45" s="5"/>
    </row>
    <row r="46" spans="2:33" x14ac:dyDescent="0.2">
      <c r="B46" s="10"/>
      <c r="F46">
        <v>24</v>
      </c>
      <c r="G46" s="5"/>
      <c r="H46" s="5"/>
      <c r="I46" s="5"/>
    </row>
    <row r="47" spans="2:33" x14ac:dyDescent="0.2">
      <c r="F47">
        <v>25</v>
      </c>
      <c r="G47" s="5"/>
      <c r="H47" s="5"/>
      <c r="I47" s="5"/>
    </row>
    <row r="48" spans="2:33" x14ac:dyDescent="0.2">
      <c r="G48" t="s">
        <v>27</v>
      </c>
    </row>
    <row r="50" spans="1:13" x14ac:dyDescent="0.2">
      <c r="A50" s="2" t="s">
        <v>4</v>
      </c>
      <c r="B50">
        <v>1</v>
      </c>
      <c r="C50">
        <v>2</v>
      </c>
      <c r="D50">
        <v>3</v>
      </c>
      <c r="E50">
        <v>4</v>
      </c>
      <c r="F50">
        <v>5</v>
      </c>
      <c r="G50">
        <v>6</v>
      </c>
      <c r="H50">
        <v>7</v>
      </c>
      <c r="I50">
        <v>8</v>
      </c>
      <c r="J50">
        <v>9</v>
      </c>
      <c r="K50">
        <v>10</v>
      </c>
    </row>
    <row r="51" spans="1:13" x14ac:dyDescent="0.2">
      <c r="A51" s="1" t="s">
        <v>5</v>
      </c>
      <c r="L51" t="s">
        <v>6</v>
      </c>
    </row>
    <row r="52" spans="1:13" x14ac:dyDescent="0.2">
      <c r="B52" s="8"/>
      <c r="C52" s="8"/>
      <c r="D52" s="8"/>
      <c r="E52" s="8"/>
      <c r="F52" s="8"/>
      <c r="G52" s="8"/>
      <c r="H52" s="8"/>
      <c r="I52" s="8"/>
      <c r="J52" s="8"/>
      <c r="K52" s="8"/>
      <c r="L52" s="9"/>
      <c r="M52" s="25" t="s">
        <v>44</v>
      </c>
    </row>
    <row r="53" spans="1:13" x14ac:dyDescent="0.2">
      <c r="C53" t="s">
        <v>41</v>
      </c>
    </row>
    <row r="54" spans="1:13" x14ac:dyDescent="0.2">
      <c r="B54" t="s">
        <v>28</v>
      </c>
    </row>
    <row r="56" spans="1:13" x14ac:dyDescent="0.2">
      <c r="A56" s="1" t="s">
        <v>5</v>
      </c>
      <c r="L56" t="s">
        <v>6</v>
      </c>
    </row>
    <row r="57" spans="1:13" x14ac:dyDescent="0.2">
      <c r="B57" s="8"/>
      <c r="C57" s="8"/>
      <c r="D57" s="8"/>
      <c r="E57" s="8"/>
      <c r="F57" s="8"/>
      <c r="G57" s="8"/>
      <c r="H57" s="8"/>
      <c r="I57" s="8"/>
      <c r="J57" s="8"/>
      <c r="K57" s="8"/>
      <c r="L57" s="9"/>
    </row>
    <row r="58" spans="1:13" x14ac:dyDescent="0.2">
      <c r="B58" s="8"/>
      <c r="C58" s="8"/>
      <c r="D58" s="8"/>
      <c r="E58" s="8"/>
      <c r="F58" s="8"/>
      <c r="G58" s="8"/>
      <c r="H58" s="8"/>
      <c r="I58" s="8"/>
      <c r="J58" s="8"/>
      <c r="K58" s="8"/>
      <c r="L58" s="9"/>
    </row>
    <row r="59" spans="1:13" x14ac:dyDescent="0.2">
      <c r="B59" s="8"/>
      <c r="C59" s="8"/>
      <c r="D59" s="8"/>
      <c r="E59" s="8"/>
      <c r="F59" s="8"/>
      <c r="G59" s="8"/>
      <c r="H59" s="8"/>
      <c r="I59" s="8"/>
      <c r="J59" s="8"/>
      <c r="K59" s="8"/>
      <c r="L59" s="9"/>
    </row>
    <row r="60" spans="1:13" x14ac:dyDescent="0.2">
      <c r="B60" s="8"/>
      <c r="C60" s="8"/>
      <c r="D60" s="8"/>
      <c r="E60" s="8"/>
      <c r="F60" s="8"/>
      <c r="G60" s="8"/>
      <c r="H60" s="8"/>
      <c r="I60" s="8"/>
      <c r="J60" s="8"/>
      <c r="K60" s="8"/>
      <c r="L60" s="9"/>
    </row>
    <row r="61" spans="1:13" x14ac:dyDescent="0.2">
      <c r="B61" s="8"/>
      <c r="C61" s="8"/>
      <c r="D61" s="8"/>
      <c r="E61" s="8"/>
      <c r="F61" s="8"/>
      <c r="G61" s="8"/>
      <c r="H61" s="8"/>
      <c r="I61" s="8"/>
      <c r="J61" s="8"/>
      <c r="K61" s="8"/>
      <c r="L61" s="9"/>
    </row>
    <row r="62" spans="1:13" x14ac:dyDescent="0.2">
      <c r="B62" s="8"/>
      <c r="C62" s="8"/>
      <c r="D62" s="8"/>
      <c r="E62" s="8"/>
      <c r="F62" s="8"/>
      <c r="G62" s="8"/>
      <c r="H62" s="8"/>
      <c r="I62" s="8"/>
      <c r="J62" s="8"/>
      <c r="K62" s="8"/>
      <c r="L62" s="9"/>
    </row>
    <row r="63" spans="1:13" x14ac:dyDescent="0.2">
      <c r="B63" s="8"/>
      <c r="C63" s="8"/>
      <c r="D63" s="8"/>
      <c r="E63" s="8"/>
      <c r="F63" s="8"/>
      <c r="G63" s="8"/>
      <c r="H63" s="8"/>
      <c r="I63" s="8"/>
      <c r="J63" s="8"/>
      <c r="K63" s="8"/>
      <c r="L63" s="9"/>
    </row>
    <row r="64" spans="1:13" x14ac:dyDescent="0.2">
      <c r="B64" s="8"/>
      <c r="C64" s="8"/>
      <c r="D64" s="8"/>
      <c r="E64" s="8"/>
      <c r="F64" s="8"/>
      <c r="G64" s="8"/>
      <c r="H64" s="8"/>
      <c r="I64" s="8"/>
      <c r="J64" s="8"/>
      <c r="K64" s="8"/>
      <c r="L64" s="9"/>
    </row>
    <row r="65" spans="1:12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9"/>
    </row>
    <row r="66" spans="1:12" x14ac:dyDescent="0.2">
      <c r="B66" s="8"/>
      <c r="C66" s="8"/>
      <c r="D66" s="8"/>
      <c r="E66" s="8"/>
      <c r="F66" s="8"/>
      <c r="G66" s="8"/>
      <c r="H66" s="8"/>
      <c r="I66" s="8"/>
      <c r="J66" s="8"/>
      <c r="K66" s="8"/>
      <c r="L66" s="9"/>
    </row>
    <row r="67" spans="1:12" x14ac:dyDescent="0.2">
      <c r="B67" s="8"/>
      <c r="C67" s="8"/>
      <c r="D67" s="8"/>
      <c r="E67" s="8"/>
      <c r="F67" s="8"/>
      <c r="G67" s="8"/>
      <c r="H67" s="8"/>
      <c r="I67" s="8"/>
      <c r="J67" s="8"/>
      <c r="K67" s="8"/>
      <c r="L67" s="9"/>
    </row>
    <row r="68" spans="1:12" x14ac:dyDescent="0.2">
      <c r="B68" s="8"/>
      <c r="C68" s="8"/>
      <c r="D68" s="8"/>
      <c r="E68" s="8"/>
      <c r="F68" s="8"/>
      <c r="G68" s="8"/>
      <c r="H68" s="8"/>
      <c r="I68" s="8"/>
      <c r="J68" s="8"/>
      <c r="K68" s="8"/>
      <c r="L68" s="9"/>
    </row>
    <row r="69" spans="1:12" x14ac:dyDescent="0.2">
      <c r="B69" s="8"/>
      <c r="C69" s="8"/>
      <c r="D69" s="8"/>
      <c r="E69" s="8"/>
      <c r="F69" s="8"/>
      <c r="G69" s="8"/>
      <c r="H69" s="8"/>
      <c r="I69" s="8"/>
      <c r="J69" s="8"/>
      <c r="K69" s="8"/>
      <c r="L69" s="9"/>
    </row>
    <row r="70" spans="1:12" x14ac:dyDescent="0.2">
      <c r="B70" s="8"/>
      <c r="C70" s="8"/>
      <c r="D70" s="8"/>
      <c r="E70" s="8"/>
      <c r="F70" s="8"/>
      <c r="G70" s="8"/>
      <c r="H70" s="8"/>
      <c r="I70" s="8"/>
      <c r="J70" s="8"/>
      <c r="K70" s="8"/>
      <c r="L70" s="9"/>
    </row>
    <row r="71" spans="1:12" x14ac:dyDescent="0.2">
      <c r="B71" s="8"/>
      <c r="C71" s="8"/>
      <c r="D71" s="8"/>
      <c r="E71" s="8"/>
      <c r="F71" s="8"/>
      <c r="G71" s="8"/>
      <c r="H71" s="8"/>
      <c r="I71" s="8"/>
      <c r="J71" s="8"/>
      <c r="K71" s="8"/>
      <c r="L71" s="9"/>
    </row>
    <row r="72" spans="1:12" x14ac:dyDescent="0.2">
      <c r="C72" t="s">
        <v>43</v>
      </c>
    </row>
    <row r="73" spans="1:12" x14ac:dyDescent="0.2">
      <c r="B73" t="s">
        <v>28</v>
      </c>
    </row>
    <row r="75" spans="1:12" x14ac:dyDescent="0.2">
      <c r="A75" s="1" t="s">
        <v>5</v>
      </c>
      <c r="L75" t="s">
        <v>6</v>
      </c>
    </row>
    <row r="76" spans="1:12" x14ac:dyDescent="0.2">
      <c r="B76" s="8"/>
      <c r="C76" s="8"/>
      <c r="D76" s="8"/>
      <c r="E76" s="8"/>
      <c r="F76" s="8"/>
      <c r="G76" s="8"/>
      <c r="H76" s="8"/>
      <c r="I76" s="8"/>
      <c r="J76" s="8"/>
      <c r="K76" s="8"/>
      <c r="L76" s="9"/>
    </row>
    <row r="77" spans="1:12" x14ac:dyDescent="0.2">
      <c r="C77" t="s">
        <v>42</v>
      </c>
    </row>
  </sheetData>
  <mergeCells count="2">
    <mergeCell ref="R2:S2"/>
    <mergeCell ref="R21:S2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Example 1</vt:lpstr>
      <vt:lpstr>Example 2</vt:lpstr>
      <vt:lpstr>Example 3</vt:lpstr>
      <vt:lpstr>Kitchen Ex Data</vt:lpstr>
      <vt:lpstr>DAN407</vt:lpstr>
      <vt:lpstr>Template</vt:lpstr>
      <vt:lpstr>D_Matrix</vt:lpstr>
      <vt:lpstr>Dijk_Paths</vt:lpstr>
      <vt:lpstr>Dist_Loc</vt:lpstr>
      <vt:lpstr>Distance</vt:lpstr>
      <vt:lpstr>Distance_Matrix</vt:lpstr>
      <vt:lpstr>F</vt:lpstr>
      <vt:lpstr>Frequency</vt:lpstr>
      <vt:lpstr>H</vt:lpstr>
      <vt:lpstr>Handling_Cost</vt:lpstr>
      <vt:lpstr>Locations</vt:lpstr>
      <vt:lpstr>Part_Cost</vt:lpstr>
      <vt:lpstr>Part_Freq</vt:lpstr>
      <vt:lpstr>Part_Routes</vt:lpstr>
      <vt:lpstr>Paths</vt:lpstr>
      <vt:lpstr>Route_Input</vt:lpstr>
      <vt:lpstr>Routes</vt:lpstr>
      <vt:lpstr>W_Matrix</vt:lpstr>
      <vt:lpstr>Weight</vt:lpstr>
      <vt:lpstr>Weight_Matrix</vt:lpstr>
    </vt:vector>
  </TitlesOfParts>
  <Company>NC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Unity User</dc:creator>
  <cp:lastModifiedBy>Michael Kay</cp:lastModifiedBy>
  <dcterms:created xsi:type="dcterms:W3CDTF">2007-01-24T16:27:27Z</dcterms:created>
  <dcterms:modified xsi:type="dcterms:W3CDTF">2017-11-09T16:24:21Z</dcterms:modified>
</cp:coreProperties>
</file>