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kay\Documents\Custom Office Templates\"/>
    </mc:Choice>
  </mc:AlternateContent>
  <bookViews>
    <workbookView xWindow="0" yWindow="0" windowWidth="28800" windowHeight="12300"/>
  </bookViews>
  <sheets>
    <sheet name="Truck Shmt Ex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5" i="1" l="1"/>
  <c r="C25" i="1"/>
  <c r="C13" i="1"/>
  <c r="C9" i="1"/>
  <c r="C24" i="1" s="1"/>
  <c r="C7" i="1"/>
  <c r="C10" i="1" l="1"/>
  <c r="C17" i="1" l="1"/>
  <c r="C14" i="1"/>
  <c r="C15" i="1" s="1"/>
  <c r="C16" i="1" l="1"/>
  <c r="C18" i="1"/>
  <c r="C19" i="1" s="1"/>
  <c r="C33" i="1"/>
  <c r="C20" i="1"/>
  <c r="C21" i="1" s="1"/>
  <c r="C34" i="1" s="1"/>
  <c r="C22" i="1" l="1"/>
  <c r="C23" i="1" s="1"/>
</calcChain>
</file>

<file path=xl/sharedStrings.xml><?xml version="1.0" encoding="utf-8"?>
<sst xmlns="http://schemas.openxmlformats.org/spreadsheetml/2006/main" count="77" uniqueCount="56">
  <si>
    <t>Common</t>
  </si>
  <si>
    <t>PPI_TL</t>
  </si>
  <si>
    <t>Jan 18</t>
  </si>
  <si>
    <t>Prod Price Index for TL</t>
  </si>
  <si>
    <t>PPI_LTL</t>
  </si>
  <si>
    <t>Prod Price Index for LTL</t>
  </si>
  <si>
    <t>Kwt</t>
  </si>
  <si>
    <t>ton</t>
  </si>
  <si>
    <t>Physical weight capacity</t>
  </si>
  <si>
    <t>Kcu</t>
  </si>
  <si>
    <t>ft^3</t>
  </si>
  <si>
    <t>Effective cube capacity</t>
  </si>
  <si>
    <t>unit cube</t>
  </si>
  <si>
    <t>unit weight</t>
  </si>
  <si>
    <t>lb</t>
  </si>
  <si>
    <t>s</t>
  </si>
  <si>
    <t>lb/ft^3</t>
  </si>
  <si>
    <t>Density (Class 200)</t>
  </si>
  <si>
    <t>d</t>
  </si>
  <si>
    <t>mi</t>
  </si>
  <si>
    <t>Distance</t>
  </si>
  <si>
    <t>rTL</t>
  </si>
  <si>
    <t>$/mi</t>
  </si>
  <si>
    <t>TL rev per loaded tr-mi</t>
  </si>
  <si>
    <t>qmax</t>
  </si>
  <si>
    <t>Max payload</t>
  </si>
  <si>
    <t>One-Time</t>
  </si>
  <si>
    <t>no. units</t>
  </si>
  <si>
    <t>qTL</t>
  </si>
  <si>
    <t>nTL</t>
  </si>
  <si>
    <t>cTL</t>
  </si>
  <si>
    <t>$</t>
  </si>
  <si>
    <t>c1TL</t>
  </si>
  <si>
    <t>$/TL</t>
  </si>
  <si>
    <t>qLTL</t>
  </si>
  <si>
    <t>rLTL</t>
  </si>
  <si>
    <t>$/ton-mi</t>
  </si>
  <si>
    <t>cLTL</t>
  </si>
  <si>
    <t>c1TL+cLTL</t>
  </si>
  <si>
    <t>savings</t>
  </si>
  <si>
    <t>MC_TL</t>
  </si>
  <si>
    <t>Min charge TL</t>
  </si>
  <si>
    <t>MC_LTL</t>
  </si>
  <si>
    <t>Min charge LTL</t>
  </si>
  <si>
    <t>cLTL (FedEx LTL)</t>
  </si>
  <si>
    <t>1/27/2020, Liab ?, 2 Serv days</t>
  </si>
  <si>
    <t>Reverse trip (FedEx)</t>
  </si>
  <si>
    <t>OD(200,2)</t>
  </si>
  <si>
    <r>
      <rPr>
        <sz val="10"/>
        <rFont val="Calibri"/>
        <family val="2"/>
      </rPr>
      <t>¢</t>
    </r>
    <r>
      <rPr>
        <sz val="10"/>
        <rFont val="Arial"/>
        <family val="2"/>
      </rPr>
      <t>/cwt</t>
    </r>
  </si>
  <si>
    <t>OD(200,3)</t>
  </si>
  <si>
    <t>q2B</t>
  </si>
  <si>
    <t>MC</t>
  </si>
  <si>
    <t>disc</t>
  </si>
  <si>
    <t>cLTL (Czar, no disc)</t>
  </si>
  <si>
    <t>disc, Czar to est</t>
  </si>
  <si>
    <t>q3W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</si>
</sst>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0.00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0">
    <xf numFmtId="0" fontId="0" fillId="0" borderId="0" xfId="0"/>
    <xf numFmtId="0" fontId="2" fillId="0" borderId="0" xfId="0" applyFont="1"/>
    <xf numFmtId="0" fontId="0" fillId="0" borderId="0" xfId="0" applyAlignment="1">
      <alignment horizontal="right"/>
    </xf>
    <xf numFmtId="164" fontId="0" fillId="2" borderId="0" xfId="0" applyNumberFormat="1" applyFill="1"/>
    <xf numFmtId="16" fontId="3" fillId="0" borderId="0" xfId="0" quotePrefix="1" applyNumberFormat="1" applyFont="1" applyAlignment="1">
      <alignment horizontal="left"/>
    </xf>
    <xf numFmtId="0" fontId="3" fillId="0" borderId="0" xfId="0" applyFont="1"/>
    <xf numFmtId="0" fontId="0" fillId="2" borderId="0" xfId="0" applyFill="1"/>
    <xf numFmtId="0" fontId="3" fillId="0" borderId="0" xfId="0" quotePrefix="1" applyFont="1"/>
    <xf numFmtId="0" fontId="3" fillId="0" borderId="0" xfId="0" applyFont="1" applyAlignment="1">
      <alignment horizontal="right"/>
    </xf>
    <xf numFmtId="165" fontId="0" fillId="0" borderId="0" xfId="0" applyNumberFormat="1" applyFill="1"/>
    <xf numFmtId="165" fontId="0" fillId="0" borderId="0" xfId="0" applyNumberFormat="1"/>
    <xf numFmtId="0" fontId="0" fillId="3" borderId="0" xfId="0" applyFill="1"/>
    <xf numFmtId="0" fontId="0" fillId="0" borderId="0" xfId="0" applyFill="1"/>
    <xf numFmtId="2" fontId="0" fillId="0" borderId="0" xfId="0" applyNumberFormat="1"/>
    <xf numFmtId="1" fontId="0" fillId="0" borderId="0" xfId="0" applyNumberFormat="1"/>
    <xf numFmtId="15" fontId="3" fillId="0" borderId="0" xfId="0" applyNumberFormat="1" applyFont="1"/>
    <xf numFmtId="0" fontId="3" fillId="3" borderId="0" xfId="0" applyFont="1" applyFill="1"/>
    <xf numFmtId="10" fontId="0" fillId="0" borderId="0" xfId="1" applyNumberFormat="1" applyFont="1"/>
    <xf numFmtId="165" fontId="0" fillId="0" borderId="0" xfId="1" applyNumberFormat="1" applyFont="1"/>
    <xf numFmtId="0" fontId="2" fillId="0" borderId="0" xfId="0" applyFont="1" applyAlignment="1">
      <alignment horizontal="right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36"/>
  <sheetViews>
    <sheetView tabSelected="1" workbookViewId="0">
      <selection activeCell="C1" sqref="C1"/>
    </sheetView>
  </sheetViews>
  <sheetFormatPr defaultRowHeight="15" x14ac:dyDescent="0.25"/>
  <cols>
    <col min="1" max="1" width="11" style="1" customWidth="1"/>
    <col min="2" max="2" width="10.5703125" style="2" customWidth="1"/>
    <col min="3" max="3" width="9.5703125" bestFit="1" customWidth="1"/>
    <col min="4" max="4" width="10" customWidth="1"/>
    <col min="5" max="5" width="29.42578125" customWidth="1"/>
    <col min="6" max="6" width="13.28515625" customWidth="1"/>
  </cols>
  <sheetData>
    <row r="1" spans="1:5" x14ac:dyDescent="0.25">
      <c r="A1" s="1" t="s">
        <v>0</v>
      </c>
      <c r="B1" s="2" t="s">
        <v>1</v>
      </c>
      <c r="C1" s="3">
        <v>131</v>
      </c>
      <c r="D1" s="4" t="s">
        <v>2</v>
      </c>
      <c r="E1" s="5" t="s">
        <v>3</v>
      </c>
    </row>
    <row r="2" spans="1:5" x14ac:dyDescent="0.25">
      <c r="B2" s="2" t="s">
        <v>4</v>
      </c>
      <c r="C2" s="6">
        <v>177.4</v>
      </c>
      <c r="D2" s="7" t="s">
        <v>2</v>
      </c>
      <c r="E2" s="5" t="s">
        <v>5</v>
      </c>
    </row>
    <row r="3" spans="1:5" x14ac:dyDescent="0.25">
      <c r="B3" s="2" t="s">
        <v>6</v>
      </c>
      <c r="C3" s="6">
        <v>25</v>
      </c>
      <c r="D3" t="s">
        <v>7</v>
      </c>
      <c r="E3" s="5" t="s">
        <v>8</v>
      </c>
    </row>
    <row r="4" spans="1:5" x14ac:dyDescent="0.25">
      <c r="B4" s="2" t="s">
        <v>9</v>
      </c>
      <c r="C4" s="6">
        <v>2750</v>
      </c>
      <c r="D4" s="5" t="s">
        <v>10</v>
      </c>
      <c r="E4" s="5" t="s">
        <v>11</v>
      </c>
    </row>
    <row r="5" spans="1:5" x14ac:dyDescent="0.25">
      <c r="B5" s="8" t="s">
        <v>12</v>
      </c>
      <c r="C5" s="6">
        <v>9</v>
      </c>
      <c r="D5" s="5" t="s">
        <v>10</v>
      </c>
    </row>
    <row r="6" spans="1:5" x14ac:dyDescent="0.25">
      <c r="B6" s="8" t="s">
        <v>13</v>
      </c>
      <c r="C6" s="6">
        <v>40</v>
      </c>
      <c r="D6" s="5" t="s">
        <v>14</v>
      </c>
    </row>
    <row r="7" spans="1:5" x14ac:dyDescent="0.25">
      <c r="B7" s="2" t="s">
        <v>15</v>
      </c>
      <c r="C7" s="9">
        <f>C6/C5</f>
        <v>4.4444444444444446</v>
      </c>
      <c r="D7" s="5" t="s">
        <v>16</v>
      </c>
      <c r="E7" s="5" t="s">
        <v>17</v>
      </c>
    </row>
    <row r="8" spans="1:5" x14ac:dyDescent="0.25">
      <c r="B8" s="2" t="s">
        <v>18</v>
      </c>
      <c r="C8" s="6">
        <v>532</v>
      </c>
      <c r="D8" t="s">
        <v>19</v>
      </c>
      <c r="E8" s="5" t="s">
        <v>20</v>
      </c>
    </row>
    <row r="9" spans="1:5" x14ac:dyDescent="0.25">
      <c r="B9" s="8" t="s">
        <v>21</v>
      </c>
      <c r="C9" s="10">
        <f>2*(C1/102.7)</f>
        <v>2.5511197663096397</v>
      </c>
      <c r="D9" t="s">
        <v>22</v>
      </c>
      <c r="E9" s="5" t="s">
        <v>23</v>
      </c>
    </row>
    <row r="10" spans="1:5" x14ac:dyDescent="0.25">
      <c r="B10" s="2" t="s">
        <v>24</v>
      </c>
      <c r="C10" s="10">
        <f>MIN(C3,C7*C4/2000)</f>
        <v>6.1111111111111116</v>
      </c>
      <c r="D10" t="s">
        <v>7</v>
      </c>
      <c r="E10" s="5" t="s">
        <v>25</v>
      </c>
    </row>
    <row r="12" spans="1:5" x14ac:dyDescent="0.25">
      <c r="A12" s="1" t="s">
        <v>26</v>
      </c>
      <c r="B12" s="8" t="s">
        <v>27</v>
      </c>
      <c r="C12" s="11">
        <v>320</v>
      </c>
    </row>
    <row r="13" spans="1:5" x14ac:dyDescent="0.25">
      <c r="B13" s="2" t="s">
        <v>28</v>
      </c>
      <c r="C13" s="12">
        <f>C12*C6/2000</f>
        <v>6.4</v>
      </c>
      <c r="D13" t="s">
        <v>7</v>
      </c>
    </row>
    <row r="14" spans="1:5" x14ac:dyDescent="0.25">
      <c r="B14" s="8" t="s">
        <v>29</v>
      </c>
      <c r="C14">
        <f>CEILING(C13/C10,1)</f>
        <v>2</v>
      </c>
    </row>
    <row r="15" spans="1:5" x14ac:dyDescent="0.25">
      <c r="B15" s="2" t="s">
        <v>30</v>
      </c>
      <c r="C15" s="13">
        <f>C14*C9*C8</f>
        <v>2714.3914313534565</v>
      </c>
      <c r="D15" s="5" t="s">
        <v>31</v>
      </c>
    </row>
    <row r="16" spans="1:5" x14ac:dyDescent="0.25">
      <c r="B16" s="8" t="s">
        <v>32</v>
      </c>
      <c r="C16" s="13">
        <f>C15/C14</f>
        <v>1357.1957156767282</v>
      </c>
      <c r="D16" s="5" t="s">
        <v>33</v>
      </c>
    </row>
    <row r="17" spans="2:6" x14ac:dyDescent="0.25">
      <c r="B17" s="2" t="s">
        <v>34</v>
      </c>
      <c r="C17" s="10">
        <f>C13-C10</f>
        <v>0.28888888888888875</v>
      </c>
      <c r="D17" t="s">
        <v>7</v>
      </c>
    </row>
    <row r="18" spans="2:6" x14ac:dyDescent="0.25">
      <c r="B18" s="2" t="s">
        <v>34</v>
      </c>
      <c r="C18" s="14">
        <f>C17*2000</f>
        <v>577.77777777777749</v>
      </c>
      <c r="D18" s="5" t="s">
        <v>14</v>
      </c>
    </row>
    <row r="19" spans="2:6" x14ac:dyDescent="0.25">
      <c r="B19" s="2" t="s">
        <v>27</v>
      </c>
      <c r="C19" s="14">
        <f>CEILING(C18/C6,1)</f>
        <v>15</v>
      </c>
      <c r="D19" s="5"/>
    </row>
    <row r="20" spans="2:6" x14ac:dyDescent="0.25">
      <c r="B20" s="2" t="s">
        <v>35</v>
      </c>
      <c r="C20" s="10">
        <f>C2*(((C7^2)/8+14)/((C17^(1/7)*C8^(15/29)-7/2)*(C7^2+2*C7+14)))</f>
        <v>3.8014078092039134</v>
      </c>
      <c r="D20" t="s">
        <v>36</v>
      </c>
    </row>
    <row r="21" spans="2:6" x14ac:dyDescent="0.25">
      <c r="B21" s="2" t="s">
        <v>37</v>
      </c>
      <c r="C21" s="13">
        <f>C20*C17*C8</f>
        <v>584.23414241009459</v>
      </c>
      <c r="D21" s="5" t="s">
        <v>31</v>
      </c>
    </row>
    <row r="22" spans="2:6" x14ac:dyDescent="0.25">
      <c r="B22" s="8" t="s">
        <v>38</v>
      </c>
      <c r="C22" s="13">
        <f>C16 + C21</f>
        <v>1941.4298580868228</v>
      </c>
      <c r="D22" s="5" t="s">
        <v>31</v>
      </c>
    </row>
    <row r="23" spans="2:6" x14ac:dyDescent="0.25">
      <c r="B23" s="8" t="s">
        <v>39</v>
      </c>
      <c r="C23" s="13">
        <f>C15-C22</f>
        <v>772.96157326663365</v>
      </c>
      <c r="D23" s="5" t="s">
        <v>31</v>
      </c>
    </row>
    <row r="24" spans="2:6" x14ac:dyDescent="0.25">
      <c r="B24" s="8" t="s">
        <v>40</v>
      </c>
      <c r="C24" s="13">
        <f>(C9/2)*45</f>
        <v>57.400194741966892</v>
      </c>
      <c r="D24" s="5" t="s">
        <v>31</v>
      </c>
      <c r="E24" s="5" t="s">
        <v>41</v>
      </c>
    </row>
    <row r="25" spans="2:6" x14ac:dyDescent="0.25">
      <c r="B25" s="8" t="s">
        <v>42</v>
      </c>
      <c r="C25" s="13">
        <f>(C2/104.2)*(45+C8^(28/19)/1625)</f>
        <v>87.510752311476693</v>
      </c>
      <c r="D25" s="5" t="s">
        <v>31</v>
      </c>
      <c r="E25" s="5" t="s">
        <v>43</v>
      </c>
    </row>
    <row r="26" spans="2:6" x14ac:dyDescent="0.25">
      <c r="B26" s="8" t="s">
        <v>44</v>
      </c>
      <c r="C26" s="11">
        <v>1251.6400000000001</v>
      </c>
      <c r="D26" s="5" t="s">
        <v>31</v>
      </c>
      <c r="E26" s="15" t="s">
        <v>45</v>
      </c>
      <c r="F26" s="5"/>
    </row>
    <row r="27" spans="2:6" x14ac:dyDescent="0.25">
      <c r="B27" s="8" t="s">
        <v>46</v>
      </c>
      <c r="C27" s="11">
        <v>1091.76</v>
      </c>
      <c r="D27" s="5" t="s">
        <v>31</v>
      </c>
      <c r="E27" s="15" t="s">
        <v>45</v>
      </c>
      <c r="F27" s="5"/>
    </row>
    <row r="28" spans="2:6" x14ac:dyDescent="0.25">
      <c r="B28" s="8" t="s">
        <v>47</v>
      </c>
      <c r="C28" s="11">
        <v>127.69</v>
      </c>
      <c r="D28" s="5" t="s">
        <v>48</v>
      </c>
    </row>
    <row r="29" spans="2:6" x14ac:dyDescent="0.25">
      <c r="B29" s="8" t="s">
        <v>49</v>
      </c>
      <c r="C29" s="16">
        <v>99.92</v>
      </c>
      <c r="D29" s="5" t="s">
        <v>48</v>
      </c>
    </row>
    <row r="30" spans="2:6" x14ac:dyDescent="0.25">
      <c r="B30" s="8" t="s">
        <v>50</v>
      </c>
      <c r="C30" s="16">
        <v>0.5</v>
      </c>
      <c r="D30" s="5" t="s">
        <v>7</v>
      </c>
    </row>
    <row r="31" spans="2:6" x14ac:dyDescent="0.25">
      <c r="B31" s="8" t="s">
        <v>51</v>
      </c>
      <c r="C31" s="11">
        <v>95.23</v>
      </c>
      <c r="D31" s="5" t="s">
        <v>31</v>
      </c>
    </row>
    <row r="32" spans="2:6" x14ac:dyDescent="0.25">
      <c r="B32" s="8" t="s">
        <v>52</v>
      </c>
      <c r="C32" s="11">
        <v>0</v>
      </c>
    </row>
    <row r="33" spans="1:4" x14ac:dyDescent="0.25">
      <c r="B33" s="8" t="s">
        <v>53</v>
      </c>
      <c r="C33" s="13">
        <f>(1 - C32)*MAX(C31,MIN(C28*20*C17,C29*20*C30))</f>
        <v>737.76444444444417</v>
      </c>
      <c r="D33" s="5" t="s">
        <v>31</v>
      </c>
    </row>
    <row r="34" spans="1:4" x14ac:dyDescent="0.25">
      <c r="B34" s="8" t="s">
        <v>54</v>
      </c>
      <c r="C34" s="17">
        <f>1 -C21/ C33</f>
        <v>0.20810206183080815</v>
      </c>
    </row>
    <row r="35" spans="1:4" x14ac:dyDescent="0.25">
      <c r="B35" s="8" t="s">
        <v>55</v>
      </c>
      <c r="C35" s="18">
        <f>(C29/C28)*C30</f>
        <v>0.39126008301354848</v>
      </c>
      <c r="D35" s="5" t="s">
        <v>7</v>
      </c>
    </row>
    <row r="36" spans="1:4" x14ac:dyDescent="0.25">
      <c r="A36" s="1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Truck Shmt Ex</vt:lpstr>
    </vt:vector>
  </TitlesOfParts>
  <Company>North Carolina State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Kay</dc:creator>
  <cp:lastModifiedBy>Michael Kay</cp:lastModifiedBy>
  <dcterms:created xsi:type="dcterms:W3CDTF">2020-01-22T19:06:06Z</dcterms:created>
  <dcterms:modified xsi:type="dcterms:W3CDTF">2020-01-22T19:10:09Z</dcterms:modified>
</cp:coreProperties>
</file>